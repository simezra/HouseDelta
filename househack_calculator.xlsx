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Cashflow Template" sheetId="1" r:id="rId5"/>
  </sheets>
  <definedNames/>
  <calcPr/>
</workbook>
</file>

<file path=xl/sharedStrings.xml><?xml version="1.0" encoding="utf-8"?>
<sst xmlns="http://schemas.openxmlformats.org/spreadsheetml/2006/main" count="78" uniqueCount="78">
  <si>
    <t>Basic Inputs</t>
  </si>
  <si>
    <t>Adjustments (optional)</t>
  </si>
  <si>
    <t>House Price</t>
  </si>
  <si>
    <t>Maintenance (usually 1% rule)</t>
  </si>
  <si>
    <t>Downpayment</t>
  </si>
  <si>
    <t>Vacancy (usually 8%)</t>
  </si>
  <si>
    <t>Term:</t>
  </si>
  <si>
    <t>Utilities monthly (average)</t>
  </si>
  <si>
    <t>Annual Rate:</t>
  </si>
  <si>
    <t>Insurance (0.25-0.45% average)</t>
  </si>
  <si>
    <t>Portion of house used by rental</t>
  </si>
  <si>
    <t>Rent (monthly, pre-tax)</t>
  </si>
  <si>
    <t>Because of the way that amortization works, the interest portion of the mortgage will change every year, so this section will change each year. We can either average over something like 5 or 10 years, or we can just go year by year. The interest portion of the mortgage will be lower as we go on, but then we can deduct less</t>
  </si>
  <si>
    <t>Initial Purchase</t>
  </si>
  <si>
    <t>Rental Income</t>
  </si>
  <si>
    <t>Land Transfer Tax</t>
  </si>
  <si>
    <t>Rent after assuming 8% vacancy</t>
  </si>
  <si>
    <t>Misc Closing Costs</t>
  </si>
  <si>
    <t>Savings</t>
  </si>
  <si>
    <t>Cash Needed to close</t>
  </si>
  <si>
    <t>Tax and Deductions</t>
  </si>
  <si>
    <t xml:space="preserve">How much are we saving on the interest portion of the mortgage? </t>
  </si>
  <si>
    <t>Deduction: Mortgage interest of rented unit(s)</t>
  </si>
  <si>
    <t>Well, at the end of the day we get some amount of rental income after tax.</t>
  </si>
  <si>
    <t>Recurring expenses</t>
  </si>
  <si>
    <t>Deduction: Non-mortgage monthly expenses</t>
  </si>
  <si>
    <t>That rental income can totally knock out the interest portion of the mortgage</t>
  </si>
  <si>
    <t>Mortage Monthly</t>
  </si>
  <si>
    <r>
      <rPr>
        <rFont val="Arial"/>
        <color theme="1"/>
      </rPr>
      <t xml:space="preserve">Taxable rental income </t>
    </r>
    <r>
      <rPr>
        <rFont val="Arial"/>
        <b/>
        <color theme="1"/>
      </rPr>
      <t>after</t>
    </r>
    <r>
      <rPr>
        <rFont val="Arial"/>
        <color theme="1"/>
      </rPr>
      <t xml:space="preserve"> deductions</t>
    </r>
  </si>
  <si>
    <t>Then, whatever is left is used against the non-mortgage expenses</t>
  </si>
  <si>
    <t>Interest portion of Mortgage payment</t>
  </si>
  <si>
    <t>Tax on net rental income (marginal rate 45%)</t>
  </si>
  <si>
    <t>So we can get a total "cost" per month of owning the home, but that will still take into account the principal that we're paying.</t>
  </si>
  <si>
    <t>Property tax (0.6%)</t>
  </si>
  <si>
    <t>Deductions surpassing rental income</t>
  </si>
  <si>
    <t>Utilities</t>
  </si>
  <si>
    <t>What I'm curious about is the difference in sunk costs... what are we paying and not getting back?</t>
  </si>
  <si>
    <t>Maintenance (1% rule)</t>
  </si>
  <si>
    <t>Overall Cash Flow (year 1)</t>
  </si>
  <si>
    <t>(no rental)</t>
  </si>
  <si>
    <t>Insurance</t>
  </si>
  <si>
    <t>Total Expenses + Mortgage</t>
  </si>
  <si>
    <t>(50% rented at $3000)</t>
  </si>
  <si>
    <t>Non-Mortgage Expenses Monthly</t>
  </si>
  <si>
    <t>Rental income after tax</t>
  </si>
  <si>
    <t>The difference in sunk costs is just our rental income after tax</t>
  </si>
  <si>
    <t>Total Monthly Net Cash Flow</t>
  </si>
  <si>
    <t>One issue with the maintenance and 1% rule is that this doesn't differentiate current expenses and capital costs. Only current expenses (e.g. repairs) are deductable</t>
  </si>
  <si>
    <t>Sunk costs</t>
  </si>
  <si>
    <t>Extra Mortgage Info</t>
  </si>
  <si>
    <t>Principal:</t>
  </si>
  <si>
    <t>Number of Payments</t>
  </si>
  <si>
    <t>Monthly Rate</t>
  </si>
  <si>
    <t>Mortgage Payment</t>
  </si>
  <si>
    <t>Let's do the same calculations year by year</t>
  </si>
  <si>
    <t>Total Cost minus principal</t>
  </si>
  <si>
    <t>Full Amortization Table (yearly)</t>
  </si>
  <si>
    <t>Year</t>
  </si>
  <si>
    <t>Total Paid</t>
  </si>
  <si>
    <t>Principal Paid</t>
  </si>
  <si>
    <t>Interest Paid</t>
  </si>
  <si>
    <t>Mortgage Balance</t>
  </si>
  <si>
    <t>Mortgage + Expenses</t>
  </si>
  <si>
    <t>Expenses</t>
  </si>
  <si>
    <t>Gross Rental Income</t>
  </si>
  <si>
    <t>Taxable Income after deductions</t>
  </si>
  <si>
    <t>Income after taxes</t>
  </si>
  <si>
    <t>Total Cost - Net Rental Income</t>
  </si>
  <si>
    <t>Sunk Costs</t>
  </si>
  <si>
    <t>TOTAL</t>
  </si>
  <si>
    <t>Full Amortization Table (monthly)</t>
  </si>
  <si>
    <t>Months</t>
  </si>
  <si>
    <t>Date</t>
  </si>
  <si>
    <t>Beginning Balance</t>
  </si>
  <si>
    <t>Payment</t>
  </si>
  <si>
    <t>Interest</t>
  </si>
  <si>
    <t>Principal</t>
  </si>
  <si>
    <t>Ending Balance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</si>
</sst>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0.0%"/>
    <numFmt numFmtId="166" formatCode="&quot;$&quot;#,##0"/>
    <numFmt numFmtId="167" formatCode="#,##0.000000"/>
    <numFmt numFmtId="168" formatCode="m/d/yyyy"/>
  </numFmts>
  <fonts count="19">
    <font>
      <sz val="10.0"/>
      <color rgb="FF000000"/>
      <name val="Arial"/>
      <scheme val="minor"/>
    </font>
    <font>
      <sz val="14.0"/>
      <color theme="1"/>
      <name val="Arial"/>
    </font>
    <font>
      <color theme="1"/>
      <name val="Arial"/>
    </font>
    <font>
      <b/>
      <color rgb="FF9900FF"/>
      <name val="Arial"/>
    </font>
    <font>
      <color theme="1"/>
      <name val="Arial"/>
      <scheme val="minor"/>
    </font>
    <font>
      <color rgb="FF34A853"/>
      <name val="Arial"/>
    </font>
    <font>
      <sz val="14.0"/>
      <color rgb="FFFFFFFF"/>
      <name val="Arial"/>
    </font>
    <font>
      <sz val="10.0"/>
      <color rgb="FF000000"/>
      <name val="Arial"/>
    </font>
    <font>
      <i/>
      <sz val="12.0"/>
      <color rgb="FFEA4335"/>
      <name val="Arial"/>
    </font>
    <font>
      <i/>
      <sz val="12.0"/>
      <color rgb="FF34A853"/>
      <name val="Arial"/>
    </font>
    <font>
      <color rgb="FFEA4335"/>
      <name val="Arial"/>
    </font>
    <font>
      <i/>
      <sz val="12.0"/>
      <color rgb="FF4285F4"/>
      <name val="Arial"/>
    </font>
    <font>
      <b/>
      <color rgb="FFEA4335"/>
      <name val="Arial"/>
    </font>
    <font>
      <b/>
      <sz val="11.0"/>
      <color theme="1"/>
      <name val="Arial"/>
    </font>
    <font>
      <b/>
      <sz val="11.0"/>
      <color rgb="FFEA4335"/>
      <name val="Arial"/>
    </font>
    <font>
      <sz val="10.0"/>
      <color rgb="FFEA4335"/>
      <name val="Arial"/>
    </font>
    <font>
      <b/>
      <sz val="15.0"/>
      <color theme="1"/>
      <name val="Arial"/>
    </font>
    <font>
      <b/>
      <color theme="1"/>
      <name val="Arial"/>
    </font>
    <font>
      <b/>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000000"/>
        <bgColor rgb="FF000000"/>
      </patternFill>
    </fill>
    <fill>
      <patternFill patternType="solid">
        <fgColor rgb="FFEFEFEF"/>
        <bgColor rgb="FFEFEFEF"/>
      </patternFill>
    </fill>
  </fills>
  <borders count="18">
    <border/>
    <border>
      <bottom style="medium">
        <color rgb="FF000000"/>
      </bottom>
    </border>
    <border>
      <bottom style="medium">
        <color rgb="FFFBBC04"/>
      </bottom>
    </border>
    <border>
      <left style="medium">
        <color rgb="FF000000"/>
      </left>
      <right style="medium">
        <color rgb="FF000000"/>
      </right>
      <top style="medium">
        <color rgb="FF000000"/>
      </top>
    </border>
    <border>
      <right style="medium">
        <color rgb="FFFBBC04"/>
      </right>
    </border>
    <border>
      <right style="medium">
        <color rgb="FF000000"/>
      </right>
    </border>
    <border>
      <left style="medium">
        <color rgb="FF000000"/>
      </left>
      <right style="medium">
        <color rgb="FF000000"/>
      </right>
    </border>
    <border>
      <right style="medium">
        <color rgb="FF000000"/>
      </right>
      <bottom style="medium">
        <color rgb="FF000000"/>
      </bottom>
    </border>
    <border>
      <top style="medium">
        <color rgb="FF000000"/>
      </top>
    </border>
    <border>
      <left style="medium">
        <color rgb="FF000000"/>
      </left>
      <right style="medium">
        <color rgb="FF000000"/>
      </right>
      <bottom style="medium">
        <color rgb="FF000000"/>
      </bottom>
    </border>
    <border>
      <right style="medium">
        <color rgb="FFFBBC04"/>
      </right>
      <bottom style="medium">
        <color rgb="FFFBBC04"/>
      </bottom>
    </border>
    <border>
      <left style="medium">
        <color rgb="FF000000"/>
      </left>
    </border>
    <border>
      <left style="medium">
        <color rgb="FF000000"/>
      </left>
      <right style="medium">
        <color rgb="FF000000"/>
      </right>
      <top style="medium">
        <color rgb="FF000000"/>
      </top>
      <bottom style="medium">
        <color rgb="FF000000"/>
      </bottom>
    </border>
    <border>
      <right style="medium">
        <color rgb="FF000000"/>
      </right>
      <top style="medium">
        <color rgb="FF000000"/>
      </top>
    </border>
    <border>
      <left style="medium">
        <color rgb="FF000000"/>
      </left>
      <bottom style="medium">
        <color rgb="FF000000"/>
      </bottom>
    </border>
    <border>
      <left style="medium">
        <color rgb="FF000000"/>
      </left>
      <top style="medium">
        <color rgb="FF000000"/>
      </top>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4" xfId="0" applyAlignment="1" applyBorder="1" applyFont="1" applyNumberFormat="1">
      <alignment vertical="bottom"/>
    </xf>
    <xf borderId="0" fillId="0" fontId="2" numFmtId="0" xfId="0" applyAlignment="1" applyFont="1">
      <alignment vertical="bottom"/>
    </xf>
    <xf borderId="2" fillId="0" fontId="2" numFmtId="164" xfId="0" applyAlignment="1" applyBorder="1" applyFont="1" applyNumberFormat="1">
      <alignment vertical="bottom"/>
    </xf>
    <xf borderId="0" fillId="0" fontId="1" numFmtId="164" xfId="0" applyAlignment="1" applyFont="1" applyNumberFormat="1">
      <alignment vertical="bottom"/>
    </xf>
    <xf borderId="0" fillId="0" fontId="2" numFmtId="164" xfId="0" applyAlignment="1" applyFont="1" applyNumberFormat="1">
      <alignment vertical="bottom"/>
    </xf>
    <xf borderId="3" fillId="0" fontId="2" numFmtId="164" xfId="0" applyAlignment="1" applyBorder="1" applyFont="1" applyNumberFormat="1">
      <alignment vertical="bottom"/>
    </xf>
    <xf borderId="4" fillId="2" fontId="2" numFmtId="164" xfId="0" applyAlignment="1" applyBorder="1" applyFill="1" applyFont="1" applyNumberFormat="1">
      <alignment horizontal="right" readingOrder="0" vertical="bottom"/>
    </xf>
    <xf borderId="5" fillId="0" fontId="2" numFmtId="0" xfId="0" applyAlignment="1" applyBorder="1" applyFont="1">
      <alignment vertical="bottom"/>
    </xf>
    <xf borderId="5" fillId="0" fontId="2" numFmtId="164" xfId="0" applyAlignment="1" applyBorder="1" applyFont="1" applyNumberFormat="1">
      <alignment readingOrder="0" vertical="bottom"/>
    </xf>
    <xf borderId="0" fillId="2" fontId="2" numFmtId="165" xfId="0" applyAlignment="1" applyFont="1" applyNumberFormat="1">
      <alignment horizontal="right" vertical="bottom"/>
    </xf>
    <xf borderId="0" fillId="0" fontId="2" numFmtId="164" xfId="0" applyAlignment="1" applyFont="1" applyNumberFormat="1">
      <alignment shrinkToFit="0" vertical="bottom" wrapText="0"/>
    </xf>
    <xf borderId="6" fillId="0" fontId="2" numFmtId="164" xfId="0" applyAlignment="1" applyBorder="1" applyFont="1" applyNumberFormat="1">
      <alignment vertical="bottom"/>
    </xf>
    <xf borderId="4" fillId="2" fontId="2" numFmtId="164" xfId="0" applyAlignment="1" applyBorder="1" applyFont="1" applyNumberFormat="1">
      <alignment horizontal="right" readingOrder="0" vertical="bottom"/>
    </xf>
    <xf borderId="0" fillId="2" fontId="2" numFmtId="9" xfId="0" applyAlignment="1" applyFont="1" applyNumberFormat="1">
      <alignment horizontal="right" readingOrder="0" vertical="bottom"/>
    </xf>
    <xf borderId="4" fillId="2" fontId="2" numFmtId="0" xfId="0" applyAlignment="1" applyBorder="1" applyFont="1">
      <alignment horizontal="right" readingOrder="0" vertical="bottom"/>
    </xf>
    <xf borderId="5" fillId="0" fontId="2" numFmtId="0" xfId="0" applyAlignment="1" applyBorder="1" applyFont="1">
      <alignment readingOrder="0" vertical="bottom"/>
    </xf>
    <xf borderId="0" fillId="2" fontId="2" numFmtId="166" xfId="0" applyAlignment="1" applyFont="1" applyNumberFormat="1">
      <alignment horizontal="right" vertical="bottom"/>
    </xf>
    <xf borderId="0" fillId="0" fontId="2" numFmtId="0" xfId="0" applyAlignment="1" applyFont="1">
      <alignment readingOrder="0" vertical="bottom"/>
    </xf>
    <xf borderId="4" fillId="2" fontId="2" numFmtId="10" xfId="0" applyAlignment="1" applyBorder="1" applyFont="1" applyNumberFormat="1">
      <alignment horizontal="right" readingOrder="0" vertical="bottom"/>
    </xf>
    <xf borderId="7" fillId="0" fontId="2" numFmtId="0" xfId="0" applyAlignment="1" applyBorder="1" applyFont="1">
      <alignment readingOrder="0" vertical="bottom"/>
    </xf>
    <xf borderId="2" fillId="2" fontId="2" numFmtId="10" xfId="0" applyAlignment="1" applyBorder="1" applyFont="1" applyNumberFormat="1">
      <alignment horizontal="right" vertical="bottom"/>
    </xf>
    <xf borderId="0" fillId="0" fontId="2" numFmtId="164" xfId="0" applyAlignment="1" applyFont="1" applyNumberFormat="1">
      <alignment readingOrder="0" vertical="bottom"/>
    </xf>
    <xf borderId="4" fillId="2" fontId="3" numFmtId="4" xfId="0" applyAlignment="1" applyBorder="1" applyFont="1" applyNumberFormat="1">
      <alignment horizontal="right" readingOrder="0" vertical="bottom"/>
    </xf>
    <xf borderId="8" fillId="0" fontId="4" numFmtId="0" xfId="0" applyBorder="1" applyFont="1"/>
    <xf borderId="0" fillId="0" fontId="2" numFmtId="164" xfId="0" applyAlignment="1" applyFont="1" applyNumberFormat="1">
      <alignment readingOrder="0" shrinkToFit="0" vertical="bottom" wrapText="0"/>
    </xf>
    <xf borderId="9" fillId="0" fontId="2" numFmtId="164" xfId="0" applyAlignment="1" applyBorder="1" applyFont="1" applyNumberFormat="1">
      <alignment vertical="bottom"/>
    </xf>
    <xf borderId="10" fillId="2" fontId="5" numFmtId="164" xfId="0" applyAlignment="1" applyBorder="1" applyFont="1" applyNumberFormat="1">
      <alignment horizontal="right" readingOrder="0" vertical="bottom"/>
    </xf>
    <xf borderId="0" fillId="0" fontId="5" numFmtId="164" xfId="0" applyAlignment="1" applyFont="1" applyNumberFormat="1">
      <alignment horizontal="right" readingOrder="0" vertical="bottom"/>
    </xf>
    <xf borderId="0" fillId="3" fontId="6" numFmtId="164" xfId="0" applyAlignment="1" applyFill="1" applyFont="1" applyNumberFormat="1">
      <alignment vertical="bottom"/>
    </xf>
    <xf borderId="0" fillId="3" fontId="2" numFmtId="164" xfId="0" applyAlignment="1" applyFont="1" applyNumberFormat="1">
      <alignment vertical="bottom"/>
    </xf>
    <xf borderId="0" fillId="0" fontId="7" numFmtId="164" xfId="0" applyAlignment="1" applyFont="1" applyNumberFormat="1">
      <alignment readingOrder="0" shrinkToFit="0" vertical="bottom" wrapText="1"/>
    </xf>
    <xf borderId="0" fillId="0" fontId="8" numFmtId="164" xfId="0" applyAlignment="1" applyFont="1" applyNumberFormat="1">
      <alignment vertical="bottom"/>
    </xf>
    <xf borderId="0" fillId="0" fontId="9" numFmtId="164" xfId="0" applyAlignment="1" applyFont="1" applyNumberFormat="1">
      <alignment vertical="bottom"/>
    </xf>
    <xf borderId="1" fillId="0" fontId="8" numFmtId="164" xfId="0" applyAlignment="1" applyBorder="1" applyFont="1" applyNumberFormat="1">
      <alignment vertical="bottom"/>
    </xf>
    <xf borderId="1" fillId="0" fontId="2" numFmtId="164" xfId="0" applyAlignment="1" applyBorder="1" applyFont="1" applyNumberFormat="1">
      <alignment vertical="bottom"/>
    </xf>
    <xf borderId="1" fillId="0" fontId="9" numFmtId="164" xfId="0" applyAlignment="1" applyBorder="1" applyFont="1" applyNumberFormat="1">
      <alignment vertical="bottom"/>
    </xf>
    <xf borderId="11" fillId="0" fontId="2" numFmtId="164" xfId="0" applyAlignment="1" applyBorder="1" applyFont="1" applyNumberFormat="1">
      <alignment vertical="bottom"/>
    </xf>
    <xf borderId="5" fillId="4" fontId="10" numFmtId="164" xfId="0" applyAlignment="1" applyBorder="1" applyFill="1" applyFont="1" applyNumberFormat="1">
      <alignment horizontal="right" vertical="bottom"/>
    </xf>
    <xf borderId="12" fillId="0" fontId="2" numFmtId="164" xfId="0" applyAlignment="1" applyBorder="1" applyFont="1" applyNumberFormat="1">
      <alignment vertical="bottom"/>
    </xf>
    <xf borderId="7" fillId="4" fontId="5" numFmtId="164" xfId="0" applyAlignment="1" applyBorder="1" applyFont="1" applyNumberFormat="1">
      <alignment horizontal="right" vertical="bottom"/>
    </xf>
    <xf borderId="0" fillId="0" fontId="2" numFmtId="0" xfId="0" applyAlignment="1" applyFont="1">
      <alignment shrinkToFit="0" vertical="bottom" wrapText="0"/>
    </xf>
    <xf borderId="5" fillId="4" fontId="10" numFmtId="164" xfId="0" applyAlignment="1" applyBorder="1" applyFont="1" applyNumberFormat="1">
      <alignment horizontal="right" readingOrder="0" vertical="bottom"/>
    </xf>
    <xf borderId="0" fillId="0" fontId="11" numFmtId="164" xfId="0" applyAlignment="1" applyFont="1" applyNumberFormat="1">
      <alignment readingOrder="0" vertical="bottom"/>
    </xf>
    <xf borderId="7" fillId="4" fontId="10" numFmtId="164" xfId="0" applyAlignment="1" applyBorder="1" applyFont="1" applyNumberFormat="1">
      <alignment horizontal="right" vertical="bottom"/>
    </xf>
    <xf borderId="0" fillId="0" fontId="4" numFmtId="0" xfId="0" applyAlignment="1" applyFont="1">
      <alignment readingOrder="0"/>
    </xf>
    <xf borderId="0" fillId="0" fontId="4" numFmtId="164" xfId="0" applyAlignment="1" applyFont="1" applyNumberFormat="1">
      <alignment readingOrder="0"/>
    </xf>
    <xf borderId="5" fillId="0" fontId="4" numFmtId="0" xfId="0" applyBorder="1" applyFont="1"/>
    <xf borderId="8" fillId="0" fontId="2" numFmtId="164" xfId="0" applyAlignment="1" applyBorder="1" applyFont="1" applyNumberFormat="1">
      <alignment vertical="bottom"/>
    </xf>
    <xf borderId="13" fillId="4" fontId="5" numFmtId="164" xfId="0" applyAlignment="1" applyBorder="1" applyFont="1" applyNumberFormat="1">
      <alignment horizontal="right" vertical="bottom"/>
    </xf>
    <xf borderId="0" fillId="0" fontId="2" numFmtId="164" xfId="0" applyAlignment="1" applyFont="1" applyNumberFormat="1">
      <alignment horizontal="right" vertical="bottom"/>
    </xf>
    <xf borderId="5" fillId="4" fontId="5" numFmtId="164" xfId="0" applyAlignment="1" applyBorder="1" applyFont="1" applyNumberFormat="1">
      <alignment horizontal="right" vertical="bottom"/>
    </xf>
    <xf borderId="5" fillId="4" fontId="12" numFmtId="164" xfId="0" applyAlignment="1" applyBorder="1" applyFont="1" applyNumberFormat="1">
      <alignment horizontal="right" vertical="bottom"/>
    </xf>
    <xf borderId="7" fillId="4" fontId="12" numFmtId="164" xfId="0" applyAlignment="1" applyBorder="1" applyFont="1" applyNumberFormat="1">
      <alignment horizontal="right" vertical="bottom"/>
    </xf>
    <xf borderId="14" fillId="0" fontId="2" numFmtId="164" xfId="0" applyAlignment="1" applyBorder="1" applyFont="1" applyNumberFormat="1">
      <alignment vertical="bottom"/>
    </xf>
    <xf borderId="0" fillId="0" fontId="2" numFmtId="0" xfId="0" applyAlignment="1" applyFont="1">
      <alignment horizontal="right" vertical="bottom"/>
    </xf>
    <xf borderId="1" fillId="0" fontId="11" numFmtId="164" xfId="0" applyAlignment="1" applyBorder="1" applyFont="1" applyNumberFormat="1">
      <alignment readingOrder="0" vertical="bottom"/>
    </xf>
    <xf borderId="15" fillId="0" fontId="2" numFmtId="164" xfId="0" applyAlignment="1" applyBorder="1" applyFont="1" applyNumberFormat="1">
      <alignment vertical="bottom"/>
    </xf>
    <xf borderId="13" fillId="4" fontId="10" numFmtId="164" xfId="0" applyAlignment="1" applyBorder="1" applyFont="1" applyNumberFormat="1">
      <alignment horizontal="right" vertical="bottom"/>
    </xf>
    <xf borderId="0" fillId="0" fontId="4" numFmtId="0" xfId="0" applyFont="1"/>
    <xf borderId="15" fillId="0" fontId="13" numFmtId="164" xfId="0" applyAlignment="1" applyBorder="1" applyFont="1" applyNumberFormat="1">
      <alignment vertical="bottom"/>
    </xf>
    <xf borderId="16" fillId="4" fontId="14" numFmtId="164" xfId="0" applyAlignment="1" applyBorder="1" applyFont="1" applyNumberFormat="1">
      <alignment horizontal="right" vertical="bottom"/>
    </xf>
    <xf borderId="0" fillId="0" fontId="2" numFmtId="0" xfId="0" applyAlignment="1" applyFont="1">
      <alignment readingOrder="0" shrinkToFit="0" vertical="bottom" wrapText="1"/>
    </xf>
    <xf borderId="17" fillId="0" fontId="4" numFmtId="0" xfId="0" applyAlignment="1" applyBorder="1" applyFont="1">
      <alignment readingOrder="0"/>
    </xf>
    <xf borderId="7" fillId="4" fontId="15" numFmtId="164" xfId="0" applyAlignment="1" applyBorder="1" applyFont="1" applyNumberFormat="1">
      <alignment horizontal="right" vertical="bottom"/>
    </xf>
    <xf borderId="0" fillId="0" fontId="2" numFmtId="164" xfId="0" applyAlignment="1" applyFont="1" applyNumberFormat="1">
      <alignment horizontal="right" readingOrder="0" vertical="bottom"/>
    </xf>
    <xf borderId="5" fillId="0" fontId="2" numFmtId="164" xfId="0" applyAlignment="1" applyBorder="1" applyFont="1" applyNumberFormat="1">
      <alignment vertical="bottom"/>
    </xf>
    <xf borderId="3" fillId="4" fontId="2" numFmtId="4" xfId="0" applyAlignment="1" applyBorder="1" applyFont="1" applyNumberFormat="1">
      <alignment horizontal="right" vertical="bottom"/>
    </xf>
    <xf borderId="6" fillId="4" fontId="2" numFmtId="0" xfId="0" applyAlignment="1" applyBorder="1" applyFont="1">
      <alignment horizontal="right" vertical="bottom"/>
    </xf>
    <xf borderId="6" fillId="4" fontId="2" numFmtId="167" xfId="0" applyAlignment="1" applyBorder="1" applyFont="1" applyNumberFormat="1">
      <alignment horizontal="right" vertical="bottom"/>
    </xf>
    <xf borderId="7" fillId="0" fontId="2" numFmtId="164" xfId="0" applyAlignment="1" applyBorder="1" applyFont="1" applyNumberFormat="1">
      <alignment vertical="bottom"/>
    </xf>
    <xf borderId="9" fillId="4" fontId="2" numFmtId="164" xfId="0" applyAlignment="1" applyBorder="1" applyFont="1" applyNumberFormat="1">
      <alignment horizontal="right" vertical="bottom"/>
    </xf>
    <xf borderId="1" fillId="0" fontId="16" numFmtId="164" xfId="0" applyAlignment="1" applyBorder="1" applyFont="1" applyNumberFormat="1">
      <alignment shrinkToFit="0" vertical="bottom" wrapText="0"/>
    </xf>
    <xf borderId="0" fillId="0" fontId="2" numFmtId="164" xfId="0" applyAlignment="1" applyFont="1" applyNumberFormat="1">
      <alignment readingOrder="0" shrinkToFit="0" vertical="bottom" wrapText="1"/>
    </xf>
    <xf borderId="0" fillId="0" fontId="17" numFmtId="164" xfId="0" applyAlignment="1" applyFont="1" applyNumberFormat="1">
      <alignment readingOrder="0" vertical="bottom"/>
    </xf>
    <xf borderId="0" fillId="0" fontId="18" numFmtId="0" xfId="0" applyAlignment="1" applyFont="1">
      <alignment readingOrder="0"/>
    </xf>
    <xf borderId="0" fillId="0" fontId="17" numFmtId="164" xfId="0" applyAlignment="1" applyFont="1" applyNumberFormat="1">
      <alignment horizontal="left" readingOrder="0" shrinkToFit="0" vertical="bottom" wrapText="0"/>
    </xf>
    <xf borderId="0" fillId="0" fontId="18" numFmtId="0" xfId="0" applyAlignment="1" applyFont="1">
      <alignment horizontal="left" readingOrder="0" shrinkToFit="0" vertical="center" wrapText="0"/>
    </xf>
    <xf borderId="11" fillId="4" fontId="2" numFmtId="3" xfId="0" applyAlignment="1" applyBorder="1" applyFont="1" applyNumberFormat="1">
      <alignment horizontal="right" shrinkToFit="0" vertical="bottom" wrapText="0"/>
    </xf>
    <xf borderId="0" fillId="4" fontId="2" numFmtId="164" xfId="0" applyAlignment="1" applyFont="1" applyNumberFormat="1">
      <alignment shrinkToFit="0" vertical="bottom" wrapText="0"/>
    </xf>
    <xf borderId="5" fillId="4" fontId="2" numFmtId="164" xfId="0" applyAlignment="1" applyBorder="1" applyFont="1" applyNumberFormat="1">
      <alignment shrinkToFit="0" vertical="bottom" wrapText="0"/>
    </xf>
    <xf borderId="11" fillId="4" fontId="4" numFmtId="164" xfId="0" applyAlignment="1" applyBorder="1" applyFont="1" applyNumberFormat="1">
      <alignment shrinkToFit="0" vertical="center" wrapText="0"/>
    </xf>
    <xf borderId="0" fillId="4" fontId="4" numFmtId="164" xfId="0" applyAlignment="1" applyFont="1" applyNumberFormat="1">
      <alignment shrinkToFit="0" vertical="center" wrapText="0"/>
    </xf>
    <xf borderId="11" fillId="4" fontId="2" numFmtId="0" xfId="0" applyAlignment="1" applyBorder="1" applyFont="1">
      <alignment horizontal="right" shrinkToFit="0" vertical="bottom" wrapText="0"/>
    </xf>
    <xf borderId="14" fillId="0" fontId="17" numFmtId="164" xfId="0" applyAlignment="1" applyBorder="1" applyFont="1" applyNumberFormat="1">
      <alignment shrinkToFit="0" vertical="bottom" wrapText="0"/>
    </xf>
    <xf borderId="1" fillId="0" fontId="17" numFmtId="164" xfId="0" applyAlignment="1" applyBorder="1" applyFont="1" applyNumberFormat="1">
      <alignment shrinkToFit="0" vertical="bottom" wrapText="0"/>
    </xf>
    <xf borderId="7" fillId="0" fontId="2" numFmtId="164" xfId="0" applyAlignment="1" applyBorder="1" applyFont="1" applyNumberFormat="1">
      <alignment shrinkToFit="0" vertical="bottom" wrapText="0"/>
    </xf>
    <xf borderId="7" fillId="0" fontId="17" numFmtId="164" xfId="0" applyAlignment="1" applyBorder="1" applyFont="1" applyNumberFormat="1">
      <alignment shrinkToFit="0" vertical="bottom" wrapText="0"/>
    </xf>
    <xf borderId="0" fillId="0" fontId="2" numFmtId="168" xfId="0" applyAlignment="1" applyFont="1" applyNumberFormat="1">
      <alignment vertical="bottom"/>
    </xf>
    <xf borderId="0" fillId="4" fontId="2" numFmtId="168" xfId="0" applyAlignment="1" applyFont="1" applyNumberFormat="1">
      <alignment shrinkToFit="0" vertical="bottom" wrapText="0"/>
    </xf>
    <xf borderId="0" fillId="0" fontId="2" numFmtId="3" xfId="0" applyAlignment="1" applyFont="1" applyNumberFormat="1">
      <alignment vertical="bottom"/>
    </xf>
    <xf borderId="14" fillId="4" fontId="2" numFmtId="0" xfId="0" applyAlignment="1" applyBorder="1" applyFont="1">
      <alignment horizontal="right" shrinkToFit="0" vertical="bottom" wrapText="0"/>
    </xf>
    <xf borderId="1" fillId="4" fontId="2" numFmtId="168" xfId="0" applyAlignment="1" applyBorder="1" applyFont="1" applyNumberFormat="1">
      <alignment shrinkToFit="0" vertical="bottom" wrapText="0"/>
    </xf>
    <xf borderId="1" fillId="4" fontId="2" numFmtId="164" xfId="0" applyAlignment="1" applyBorder="1" applyFont="1" applyNumberFormat="1">
      <alignment shrinkToFit="0" vertical="bottom" wrapText="0"/>
    </xf>
    <xf borderId="7" fillId="4" fontId="2" numFmtId="164" xfId="0" applyAlignment="1" applyBorder="1" applyFont="1" applyNumberFormat="1">
      <alignment shrinkToFit="0" vertical="bottom"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34A853"/>
      </font>
      <fill>
        <patternFill patternType="none"/>
      </fill>
      <border/>
    </dxf>
    <dxf>
      <font>
        <color rgb="FFEA4335"/>
      </font>
      <fill>
        <patternFill patternType="none"/>
      </fill>
      <border/>
    </dxf>
  </dxfs>
  <tableStyles count="3">
    <tableStyle count="4" pivot="0" name="Basic Cashflow Template-style">
      <tableStyleElement dxfId="1" type="headerRow"/>
      <tableStyleElement dxfId="2" type="firstRowStripe"/>
      <tableStyleElement dxfId="3" type="secondRowStripe"/>
      <tableStyleElement dxfId="4" size="0" type="wholeTable"/>
    </tableStyle>
    <tableStyle count="4" pivot="0" name="Basic Cashflow Template-style 2">
      <tableStyleElement dxfId="1" type="headerRow"/>
      <tableStyleElement dxfId="2" type="firstRowStripe"/>
      <tableStyleElement dxfId="3" type="secondRowStripe"/>
      <tableStyleElement dxfId="4" size="0" type="wholeTable"/>
    </tableStyle>
    <tableStyle count="4" pivot="0" name="Basic Cashflow Template-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9:E65" displayName="Annual_Amortization_Table" name="Annual_Amortization_Table" id="1">
  <tableColumns count="5">
    <tableColumn name="Year" id="1"/>
    <tableColumn name="Total Paid" id="2"/>
    <tableColumn name="Principal Paid" id="3"/>
    <tableColumn name="Interest Paid" id="4"/>
    <tableColumn name="Mortgage Balance" id="5"/>
  </tableColumns>
  <tableStyleInfo name="Basic Cashflow Template-style" showColumnStripes="0" showFirstColumn="1" showLastColumn="1" showRowStripes="1"/>
</table>
</file>

<file path=xl/tables/table2.xml><?xml version="1.0" encoding="utf-8"?>
<table xmlns="http://schemas.openxmlformats.org/spreadsheetml/2006/main" ref="G39:M65" displayName="Househacking_Annual_Table" name="Househacking_Annual_Table" id="2">
  <tableColumns count="7">
    <tableColumn name="Mortgage + Expenses" id="1"/>
    <tableColumn name="Expenses" id="2"/>
    <tableColumn name="Gross Rental Income" id="3"/>
    <tableColumn name="Taxable Income after deductions" id="4"/>
    <tableColumn name="Income after taxes" id="5"/>
    <tableColumn name="Total Cost - Net Rental Income" id="6"/>
    <tableColumn name="Sunk Costs" id="7"/>
  </tableColumns>
  <tableStyleInfo name="Basic Cashflow Template-style 2" showColumnStripes="0" showFirstColumn="1" showLastColumn="1" showRowStripes="1"/>
</table>
</file>

<file path=xl/tables/table3.xml><?xml version="1.0" encoding="utf-8"?>
<table xmlns="http://schemas.openxmlformats.org/spreadsheetml/2006/main" ref="A69:G369" displayName="Full_Monthly_Amortization_Table" name="Full_Monthly_Amortization_Table" id="3">
  <tableColumns count="7">
    <tableColumn name="Months" id="1"/>
    <tableColumn name="Date" id="2"/>
    <tableColumn name="Beginning Balance" id="3"/>
    <tableColumn name="Payment" id="4"/>
    <tableColumn name="Interest" id="5"/>
    <tableColumn name="Principal" id="6"/>
    <tableColumn name="Ending Balance" id="7"/>
  </tableColumns>
  <tableStyleInfo name="Basic Cashflow Templat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16.63"/>
    <col customWidth="1" min="3" max="3" width="19.75"/>
    <col customWidth="1" min="4" max="4" width="34.5"/>
    <col customWidth="1" min="5" max="5" width="23.13"/>
    <col customWidth="1" min="6" max="6" width="18.5"/>
    <col customWidth="1" min="7" max="7" width="25.0"/>
    <col customWidth="1" min="8" max="8" width="17.63"/>
    <col customWidth="1" min="9" max="9" width="25.38"/>
    <col customWidth="1" min="10" max="10" width="34.5"/>
    <col customWidth="1" min="11" max="11" width="23.38"/>
    <col customWidth="1" min="12" max="12" width="32.75"/>
    <col customWidth="1" min="13" max="13" width="17.88"/>
  </cols>
  <sheetData>
    <row r="1">
      <c r="A1" s="1" t="s">
        <v>0</v>
      </c>
      <c r="B1" s="2"/>
      <c r="C1" s="3"/>
      <c r="D1" s="1" t="s">
        <v>1</v>
      </c>
      <c r="E1" s="4"/>
      <c r="F1" s="5"/>
      <c r="G1" s="6"/>
      <c r="H1" s="6"/>
      <c r="I1" s="6"/>
      <c r="J1" s="6"/>
      <c r="K1" s="6"/>
      <c r="L1" s="6"/>
      <c r="M1" s="6"/>
      <c r="N1" s="6"/>
      <c r="O1" s="6"/>
      <c r="P1" s="6"/>
      <c r="Q1" s="6"/>
      <c r="R1" s="6"/>
      <c r="S1" s="6"/>
      <c r="T1" s="6"/>
      <c r="U1" s="6"/>
      <c r="V1" s="6"/>
      <c r="W1" s="6"/>
      <c r="X1" s="6"/>
      <c r="Y1" s="6"/>
      <c r="Z1" s="6"/>
    </row>
    <row r="2">
      <c r="A2" s="7" t="s">
        <v>2</v>
      </c>
      <c r="B2" s="8">
        <v>900000.0</v>
      </c>
      <c r="C2" s="9"/>
      <c r="D2" s="10" t="s">
        <v>3</v>
      </c>
      <c r="E2" s="11">
        <v>0.01</v>
      </c>
      <c r="F2" s="6"/>
      <c r="G2" s="6"/>
      <c r="H2" s="6"/>
      <c r="I2" s="12"/>
      <c r="J2" s="6"/>
      <c r="K2" s="6"/>
      <c r="L2" s="6"/>
      <c r="M2" s="6"/>
      <c r="N2" s="6"/>
      <c r="O2" s="6"/>
      <c r="P2" s="6"/>
      <c r="Q2" s="6"/>
      <c r="R2" s="6"/>
      <c r="S2" s="6"/>
      <c r="T2" s="6"/>
      <c r="U2" s="6"/>
      <c r="V2" s="6"/>
      <c r="W2" s="6"/>
      <c r="X2" s="6"/>
      <c r="Y2" s="6"/>
      <c r="Z2" s="6"/>
    </row>
    <row r="3">
      <c r="A3" s="13" t="s">
        <v>4</v>
      </c>
      <c r="B3" s="14">
        <v>-180000.0</v>
      </c>
      <c r="C3" s="9"/>
      <c r="D3" s="9" t="s">
        <v>5</v>
      </c>
      <c r="E3" s="15">
        <v>0.05</v>
      </c>
      <c r="F3" s="6"/>
      <c r="G3" s="6"/>
      <c r="H3" s="6"/>
      <c r="I3" s="12"/>
      <c r="J3" s="6"/>
      <c r="K3" s="6"/>
      <c r="L3" s="6"/>
      <c r="M3" s="6"/>
      <c r="N3" s="6"/>
      <c r="O3" s="6"/>
      <c r="P3" s="6"/>
      <c r="Q3" s="6"/>
      <c r="R3" s="6"/>
      <c r="S3" s="6"/>
      <c r="T3" s="6"/>
      <c r="U3" s="6"/>
      <c r="V3" s="6"/>
      <c r="W3" s="6"/>
      <c r="X3" s="6"/>
      <c r="Y3" s="6"/>
      <c r="Z3" s="6"/>
    </row>
    <row r="4">
      <c r="A4" s="13" t="s">
        <v>6</v>
      </c>
      <c r="B4" s="16">
        <v>25.0</v>
      </c>
      <c r="C4" s="9"/>
      <c r="D4" s="17" t="s">
        <v>7</v>
      </c>
      <c r="E4" s="18">
        <v>400.0</v>
      </c>
      <c r="F4" s="19"/>
      <c r="G4" s="6"/>
      <c r="H4" s="6"/>
      <c r="I4" s="12"/>
      <c r="J4" s="6"/>
      <c r="K4" s="6"/>
      <c r="L4" s="6"/>
      <c r="M4" s="6"/>
      <c r="N4" s="6"/>
      <c r="O4" s="6"/>
      <c r="P4" s="6"/>
      <c r="Q4" s="6"/>
      <c r="R4" s="6"/>
      <c r="S4" s="6"/>
      <c r="T4" s="6"/>
      <c r="U4" s="6"/>
      <c r="V4" s="6"/>
      <c r="W4" s="6"/>
      <c r="X4" s="6"/>
      <c r="Y4" s="6"/>
      <c r="Z4" s="6"/>
    </row>
    <row r="5">
      <c r="A5" s="13" t="s">
        <v>8</v>
      </c>
      <c r="B5" s="20">
        <v>0.0524</v>
      </c>
      <c r="C5" s="9"/>
      <c r="D5" s="21" t="s">
        <v>9</v>
      </c>
      <c r="E5" s="22">
        <v>0.0025</v>
      </c>
      <c r="F5" s="6"/>
      <c r="G5" s="6"/>
      <c r="H5" s="6"/>
      <c r="I5" s="23"/>
      <c r="J5" s="6"/>
      <c r="K5" s="6"/>
      <c r="L5" s="6"/>
      <c r="M5" s="6"/>
      <c r="N5" s="6"/>
      <c r="O5" s="6"/>
      <c r="P5" s="6"/>
      <c r="Q5" s="6"/>
      <c r="R5" s="6"/>
      <c r="S5" s="6"/>
      <c r="T5" s="6"/>
      <c r="U5" s="6"/>
      <c r="V5" s="6"/>
      <c r="W5" s="6"/>
      <c r="X5" s="6"/>
      <c r="Y5" s="6"/>
      <c r="Z5" s="6"/>
    </row>
    <row r="6">
      <c r="A6" s="13" t="s">
        <v>10</v>
      </c>
      <c r="B6" s="24">
        <v>0.5</v>
      </c>
      <c r="C6" s="3"/>
      <c r="D6" s="25"/>
      <c r="F6" s="6"/>
      <c r="G6" s="6"/>
      <c r="H6" s="6"/>
      <c r="I6" s="26"/>
      <c r="J6" s="6"/>
      <c r="K6" s="6"/>
      <c r="L6" s="6"/>
      <c r="M6" s="6"/>
      <c r="N6" s="6"/>
      <c r="O6" s="6"/>
      <c r="P6" s="6"/>
      <c r="Q6" s="6"/>
      <c r="R6" s="6"/>
      <c r="S6" s="6"/>
      <c r="T6" s="6"/>
      <c r="U6" s="6"/>
      <c r="V6" s="6"/>
      <c r="W6" s="6"/>
      <c r="X6" s="6"/>
      <c r="Y6" s="6"/>
      <c r="Z6" s="6"/>
    </row>
    <row r="7">
      <c r="A7" s="27" t="s">
        <v>11</v>
      </c>
      <c r="B7" s="28">
        <v>2200.0</v>
      </c>
      <c r="C7" s="3"/>
      <c r="D7" s="3"/>
      <c r="E7" s="3"/>
      <c r="F7" s="3"/>
      <c r="G7" s="3"/>
      <c r="H7" s="6"/>
      <c r="I7" s="12"/>
      <c r="J7" s="6"/>
      <c r="K7" s="6"/>
      <c r="L7" s="6"/>
      <c r="M7" s="6"/>
      <c r="N7" s="6"/>
      <c r="O7" s="6"/>
      <c r="P7" s="6"/>
      <c r="Q7" s="6"/>
      <c r="R7" s="6"/>
      <c r="S7" s="6"/>
      <c r="T7" s="6"/>
      <c r="U7" s="6"/>
      <c r="V7" s="6"/>
      <c r="W7" s="6"/>
      <c r="X7" s="6"/>
      <c r="Y7" s="6"/>
      <c r="Z7" s="6"/>
    </row>
    <row r="8">
      <c r="A8" s="6"/>
      <c r="B8" s="29"/>
      <c r="C8" s="3"/>
      <c r="D8" s="3"/>
      <c r="E8" s="3"/>
      <c r="F8" s="3"/>
      <c r="G8" s="3"/>
      <c r="H8" s="6"/>
      <c r="I8" s="12"/>
      <c r="J8" s="6"/>
      <c r="K8" s="6"/>
      <c r="L8" s="6"/>
      <c r="M8" s="6"/>
      <c r="N8" s="6"/>
      <c r="O8" s="6"/>
      <c r="P8" s="6"/>
      <c r="Q8" s="6"/>
      <c r="R8" s="6"/>
      <c r="S8" s="6"/>
      <c r="T8" s="6"/>
      <c r="U8" s="6"/>
      <c r="V8" s="6"/>
      <c r="W8" s="6"/>
      <c r="X8" s="6"/>
      <c r="Y8" s="6"/>
      <c r="Z8" s="6"/>
    </row>
    <row r="9" ht="10.5" customHeight="1">
      <c r="A9" s="30"/>
      <c r="B9" s="31"/>
      <c r="C9" s="31"/>
      <c r="D9" s="31"/>
      <c r="E9" s="31"/>
      <c r="F9" s="31"/>
      <c r="G9" s="31"/>
      <c r="H9" s="6"/>
      <c r="I9" s="6"/>
      <c r="J9" s="6"/>
      <c r="K9" s="6"/>
      <c r="L9" s="23"/>
      <c r="M9" s="6"/>
      <c r="N9" s="6"/>
      <c r="O9" s="6"/>
      <c r="P9" s="6"/>
      <c r="Q9" s="6"/>
      <c r="R9" s="6"/>
      <c r="S9" s="6"/>
      <c r="T9" s="6"/>
      <c r="U9" s="6"/>
      <c r="V9" s="6"/>
      <c r="W9" s="6"/>
      <c r="X9" s="6"/>
      <c r="Y9" s="6"/>
      <c r="Z9" s="6"/>
    </row>
    <row r="10" ht="47.25" customHeight="1">
      <c r="A10" s="32" t="s">
        <v>12</v>
      </c>
      <c r="E10" s="6"/>
      <c r="H10" s="6"/>
      <c r="I10" s="12"/>
      <c r="J10" s="19"/>
      <c r="K10" s="6"/>
      <c r="L10" s="23"/>
      <c r="M10" s="6"/>
      <c r="O10" s="6"/>
      <c r="P10" s="6"/>
      <c r="Q10" s="6"/>
      <c r="R10" s="6"/>
      <c r="S10" s="6"/>
      <c r="T10" s="6"/>
      <c r="U10" s="6"/>
      <c r="V10" s="6"/>
      <c r="W10" s="6"/>
      <c r="X10" s="6"/>
      <c r="Y10" s="6"/>
      <c r="Z10" s="6"/>
    </row>
    <row r="11">
      <c r="A11" s="33"/>
      <c r="B11" s="6"/>
      <c r="D11" s="34"/>
      <c r="E11" s="6"/>
      <c r="H11" s="6"/>
      <c r="I11" s="12"/>
      <c r="J11" s="19"/>
      <c r="K11" s="6"/>
      <c r="L11" s="23"/>
      <c r="M11" s="6"/>
      <c r="O11" s="6"/>
      <c r="P11" s="6"/>
      <c r="Q11" s="6"/>
      <c r="R11" s="6"/>
      <c r="S11" s="6"/>
      <c r="T11" s="6"/>
      <c r="U11" s="6"/>
      <c r="V11" s="6"/>
      <c r="W11" s="6"/>
      <c r="X11" s="6"/>
      <c r="Y11" s="6"/>
      <c r="Z11" s="6"/>
    </row>
    <row r="12">
      <c r="A12" s="35" t="s">
        <v>13</v>
      </c>
      <c r="B12" s="36"/>
      <c r="D12" s="37" t="s">
        <v>14</v>
      </c>
      <c r="E12" s="36"/>
      <c r="H12" s="6"/>
      <c r="I12" s="12"/>
      <c r="J12" s="19"/>
      <c r="K12" s="6"/>
      <c r="L12" s="23"/>
      <c r="M12" s="6"/>
      <c r="O12" s="6"/>
      <c r="P12" s="6"/>
      <c r="Q12" s="6"/>
      <c r="R12" s="6"/>
      <c r="S12" s="6"/>
      <c r="T12" s="6"/>
      <c r="U12" s="6"/>
      <c r="V12" s="6"/>
      <c r="W12" s="6"/>
      <c r="X12" s="6"/>
      <c r="Y12" s="6"/>
      <c r="Z12" s="6"/>
    </row>
    <row r="13">
      <c r="A13" s="38" t="s">
        <v>15</v>
      </c>
      <c r="B13" s="39">
        <f>-(B2*0.035) + 8475</f>
        <v>-23025</v>
      </c>
      <c r="D13" s="40" t="s">
        <v>16</v>
      </c>
      <c r="E13" s="41">
        <f>B7*0.92</f>
        <v>2024</v>
      </c>
      <c r="H13" s="6"/>
      <c r="I13" s="42"/>
      <c r="J13" s="19"/>
      <c r="K13" s="6"/>
      <c r="L13" s="6"/>
      <c r="M13" s="6"/>
      <c r="N13" s="6"/>
      <c r="O13" s="6"/>
      <c r="P13" s="6"/>
      <c r="Q13" s="6"/>
      <c r="R13" s="6"/>
      <c r="S13" s="6"/>
      <c r="T13" s="6"/>
      <c r="U13" s="6"/>
      <c r="V13" s="6"/>
      <c r="W13" s="6"/>
      <c r="X13" s="6"/>
      <c r="Y13" s="6"/>
      <c r="Z13" s="6"/>
    </row>
    <row r="14">
      <c r="A14" s="6" t="s">
        <v>17</v>
      </c>
      <c r="B14" s="43">
        <v>-5000.0</v>
      </c>
      <c r="D14" s="3"/>
      <c r="E14" s="3"/>
      <c r="F14" s="44" t="s">
        <v>18</v>
      </c>
      <c r="H14" s="6"/>
      <c r="I14" s="42"/>
      <c r="J14" s="19"/>
      <c r="K14" s="6"/>
      <c r="L14" s="6"/>
      <c r="M14" s="6"/>
      <c r="N14" s="6"/>
      <c r="O14" s="6"/>
      <c r="P14" s="6"/>
      <c r="Q14" s="6"/>
      <c r="R14" s="6"/>
      <c r="S14" s="6"/>
      <c r="T14" s="6"/>
      <c r="U14" s="6"/>
      <c r="V14" s="6"/>
      <c r="W14" s="6"/>
      <c r="X14" s="6"/>
      <c r="Y14" s="6"/>
      <c r="Z14" s="6"/>
    </row>
    <row r="15">
      <c r="A15" s="36" t="s">
        <v>19</v>
      </c>
      <c r="B15" s="45">
        <f>B3+B13+B14</f>
        <v>-208025</v>
      </c>
      <c r="D15" s="37" t="s">
        <v>20</v>
      </c>
      <c r="E15" s="36"/>
      <c r="F15" s="46" t="s">
        <v>21</v>
      </c>
      <c r="G15" s="47"/>
      <c r="H15" s="6"/>
      <c r="I15" s="42"/>
      <c r="J15" s="19"/>
      <c r="K15" s="6"/>
      <c r="L15" s="23"/>
      <c r="M15" s="6"/>
      <c r="N15" s="6"/>
      <c r="O15" s="6"/>
      <c r="P15" s="6"/>
      <c r="Q15" s="6"/>
      <c r="R15" s="6"/>
      <c r="S15" s="6"/>
      <c r="T15" s="6"/>
      <c r="U15" s="6"/>
      <c r="V15" s="6"/>
      <c r="W15" s="6"/>
      <c r="X15" s="6"/>
      <c r="Y15" s="6"/>
      <c r="Z15" s="6"/>
    </row>
    <row r="16">
      <c r="A16" s="3"/>
      <c r="B16" s="3"/>
      <c r="C16" s="48"/>
      <c r="D16" s="49" t="s">
        <v>22</v>
      </c>
      <c r="E16" s="50">
        <f>-B19*B6</f>
        <v>1557.78836</v>
      </c>
      <c r="F16" s="46" t="s">
        <v>23</v>
      </c>
      <c r="G16" s="47"/>
      <c r="H16" s="6"/>
      <c r="I16" s="42"/>
      <c r="J16" s="19"/>
      <c r="K16" s="51"/>
      <c r="L16" s="6"/>
      <c r="M16" s="6"/>
      <c r="N16" s="6"/>
      <c r="O16" s="6"/>
      <c r="P16" s="6"/>
      <c r="Q16" s="6"/>
      <c r="R16" s="6"/>
      <c r="S16" s="6"/>
      <c r="T16" s="6"/>
      <c r="U16" s="6"/>
      <c r="V16" s="6"/>
      <c r="W16" s="6"/>
      <c r="X16" s="6"/>
      <c r="Y16" s="6"/>
      <c r="Z16" s="6"/>
    </row>
    <row r="17">
      <c r="A17" s="35" t="s">
        <v>24</v>
      </c>
      <c r="B17" s="36"/>
      <c r="C17" s="48"/>
      <c r="D17" s="6" t="s">
        <v>25</v>
      </c>
      <c r="E17" s="52">
        <f>-B24*B6</f>
        <v>893.75</v>
      </c>
      <c r="F17" s="46" t="s">
        <v>26</v>
      </c>
      <c r="H17" s="51"/>
      <c r="I17" s="42"/>
      <c r="J17" s="19"/>
      <c r="K17" s="51"/>
      <c r="L17" s="6"/>
      <c r="M17" s="6"/>
      <c r="N17" s="6"/>
      <c r="O17" s="6"/>
      <c r="P17" s="6"/>
      <c r="Q17" s="6"/>
      <c r="R17" s="6"/>
      <c r="S17" s="6"/>
      <c r="T17" s="6"/>
      <c r="U17" s="6"/>
      <c r="V17" s="6"/>
      <c r="W17" s="6"/>
      <c r="X17" s="6"/>
      <c r="Y17" s="6"/>
      <c r="Z17" s="6"/>
    </row>
    <row r="18">
      <c r="A18" s="38" t="s">
        <v>27</v>
      </c>
      <c r="B18" s="53">
        <f>-B35</f>
        <v>-4310.336825</v>
      </c>
      <c r="D18" s="38" t="s">
        <v>28</v>
      </c>
      <c r="E18" s="52">
        <f>MAX(E13-sum(E16:E17), 0)</f>
        <v>0</v>
      </c>
      <c r="F18" s="46" t="s">
        <v>29</v>
      </c>
      <c r="H18" s="51"/>
      <c r="I18" s="42"/>
      <c r="J18" s="19"/>
      <c r="K18" s="51"/>
      <c r="L18" s="23"/>
      <c r="M18" s="6"/>
      <c r="N18" s="6"/>
      <c r="O18" s="6"/>
      <c r="P18" s="6"/>
      <c r="Q18" s="6"/>
      <c r="R18" s="6"/>
      <c r="S18" s="6"/>
      <c r="T18" s="6"/>
      <c r="U18" s="6"/>
      <c r="V18" s="6"/>
      <c r="W18" s="6"/>
      <c r="X18" s="6"/>
      <c r="Y18" s="6"/>
      <c r="Z18" s="6"/>
    </row>
    <row r="19">
      <c r="A19" s="36" t="s">
        <v>30</v>
      </c>
      <c r="B19" s="54">
        <f>-AVERAGE(D40)/12</f>
        <v>-3115.57672</v>
      </c>
      <c r="D19" s="38" t="s">
        <v>31</v>
      </c>
      <c r="E19" s="39">
        <f>-E18*0.45</f>
        <v>0</v>
      </c>
      <c r="F19" s="46" t="s">
        <v>32</v>
      </c>
      <c r="H19" s="51"/>
      <c r="I19" s="42"/>
      <c r="J19" s="19"/>
      <c r="K19" s="51"/>
      <c r="L19" s="6"/>
      <c r="M19" s="6"/>
      <c r="N19" s="6"/>
      <c r="O19" s="6"/>
      <c r="P19" s="6"/>
      <c r="Q19" s="6"/>
      <c r="R19" s="6"/>
      <c r="S19" s="6"/>
      <c r="T19" s="6"/>
      <c r="U19" s="6"/>
      <c r="V19" s="6"/>
      <c r="W19" s="6"/>
      <c r="X19" s="6"/>
      <c r="Y19" s="6"/>
      <c r="Z19" s="6"/>
    </row>
    <row r="20">
      <c r="A20" s="6" t="s">
        <v>33</v>
      </c>
      <c r="B20" s="39">
        <f>-(B2*0.006)/12</f>
        <v>-450</v>
      </c>
      <c r="D20" s="55" t="s">
        <v>34</v>
      </c>
      <c r="E20" s="41">
        <f>MIN(E13-sum(E16:E17), 0)</f>
        <v>-427.53836</v>
      </c>
      <c r="H20" s="51"/>
      <c r="I20" s="42"/>
      <c r="J20" s="19"/>
      <c r="K20" s="51"/>
      <c r="L20" s="6"/>
      <c r="M20" s="6"/>
      <c r="N20" s="6"/>
      <c r="O20" s="6"/>
      <c r="P20" s="6"/>
      <c r="Q20" s="6"/>
      <c r="R20" s="6"/>
      <c r="S20" s="6"/>
      <c r="T20" s="6"/>
      <c r="U20" s="6"/>
      <c r="V20" s="6"/>
      <c r="W20" s="6"/>
      <c r="X20" s="6"/>
      <c r="Y20" s="6"/>
      <c r="Z20" s="6"/>
    </row>
    <row r="21">
      <c r="A21" s="6" t="s">
        <v>35</v>
      </c>
      <c r="B21" s="39">
        <f>-E4</f>
        <v>-400</v>
      </c>
      <c r="D21" s="3"/>
      <c r="E21" s="3"/>
      <c r="F21" s="46" t="s">
        <v>36</v>
      </c>
      <c r="H21" s="56"/>
      <c r="I21" s="42"/>
      <c r="J21" s="19"/>
      <c r="K21" s="51"/>
      <c r="L21" s="6"/>
      <c r="M21" s="6"/>
      <c r="N21" s="6"/>
      <c r="O21" s="6"/>
      <c r="P21" s="6"/>
      <c r="Q21" s="6"/>
      <c r="R21" s="6"/>
      <c r="S21" s="6"/>
      <c r="T21" s="6"/>
      <c r="U21" s="6"/>
      <c r="V21" s="6"/>
      <c r="W21" s="6"/>
      <c r="X21" s="6"/>
      <c r="Y21" s="6"/>
      <c r="Z21" s="6"/>
    </row>
    <row r="22">
      <c r="A22" s="6" t="s">
        <v>37</v>
      </c>
      <c r="B22" s="39">
        <f>-(B2*E2)/12</f>
        <v>-750</v>
      </c>
      <c r="D22" s="57" t="s">
        <v>38</v>
      </c>
      <c r="E22" s="36"/>
      <c r="F22" s="46">
        <v>3748.69</v>
      </c>
      <c r="G22" s="46" t="s">
        <v>39</v>
      </c>
      <c r="H22" s="56"/>
      <c r="I22" s="56"/>
      <c r="J22" s="6"/>
      <c r="K22" s="51"/>
      <c r="L22" s="6"/>
      <c r="M22" s="23"/>
      <c r="N22" s="6"/>
      <c r="O22" s="6"/>
      <c r="P22" s="6"/>
      <c r="Q22" s="6"/>
      <c r="R22" s="6"/>
      <c r="S22" s="6"/>
      <c r="T22" s="6"/>
      <c r="U22" s="6"/>
      <c r="V22" s="6"/>
      <c r="W22" s="6"/>
      <c r="X22" s="6"/>
      <c r="Y22" s="6"/>
      <c r="Z22" s="6"/>
    </row>
    <row r="23">
      <c r="A23" s="6" t="s">
        <v>40</v>
      </c>
      <c r="B23" s="39">
        <f>-(B2*E5)/12</f>
        <v>-187.5</v>
      </c>
      <c r="D23" s="58" t="s">
        <v>41</v>
      </c>
      <c r="E23" s="59">
        <f>B24+B18</f>
        <v>-6097.836825</v>
      </c>
      <c r="F23" s="46">
        <v>1387.24</v>
      </c>
      <c r="G23" s="46" t="s">
        <v>42</v>
      </c>
      <c r="H23" s="56"/>
      <c r="I23" s="56"/>
      <c r="J23" s="3"/>
      <c r="K23" s="51"/>
      <c r="L23" s="6"/>
      <c r="M23" s="6"/>
      <c r="N23" s="6"/>
      <c r="O23" s="6"/>
      <c r="P23" s="6"/>
      <c r="Q23" s="6"/>
      <c r="R23" s="6"/>
      <c r="S23" s="6"/>
      <c r="T23" s="6"/>
      <c r="U23" s="6"/>
      <c r="V23" s="6"/>
      <c r="W23" s="6"/>
      <c r="X23" s="6"/>
      <c r="Y23" s="6"/>
      <c r="Z23" s="6"/>
    </row>
    <row r="24">
      <c r="A24" s="36" t="s">
        <v>43</v>
      </c>
      <c r="B24" s="54">
        <f>SUM(B20:B23)</f>
        <v>-1787.5</v>
      </c>
      <c r="D24" s="38" t="s">
        <v>44</v>
      </c>
      <c r="E24" s="52">
        <f>SUM(E13,E19)</f>
        <v>2024</v>
      </c>
      <c r="F24" s="60">
        <f>F22-F23</f>
        <v>2361.45</v>
      </c>
      <c r="G24" s="46" t="s">
        <v>45</v>
      </c>
      <c r="H24" s="56"/>
      <c r="I24" s="56"/>
      <c r="J24" s="6"/>
      <c r="K24" s="51"/>
      <c r="L24" s="6"/>
      <c r="M24" s="6"/>
      <c r="N24" s="6"/>
      <c r="O24" s="6"/>
      <c r="P24" s="6"/>
      <c r="Q24" s="6"/>
      <c r="R24" s="6"/>
      <c r="S24" s="6"/>
      <c r="T24" s="6"/>
      <c r="U24" s="6"/>
      <c r="V24" s="6"/>
      <c r="W24" s="6"/>
      <c r="X24" s="6"/>
      <c r="Y24" s="6"/>
      <c r="Z24" s="6"/>
    </row>
    <row r="25">
      <c r="A25" s="42"/>
      <c r="B25" s="3"/>
      <c r="D25" s="61" t="s">
        <v>46</v>
      </c>
      <c r="E25" s="62">
        <f>SUM(E23:E24)</f>
        <v>-4073.836825</v>
      </c>
      <c r="H25" s="56"/>
      <c r="I25" s="56"/>
      <c r="J25" s="6"/>
      <c r="K25" s="51"/>
      <c r="L25" s="6"/>
      <c r="M25" s="6"/>
      <c r="N25" s="6"/>
      <c r="O25" s="6"/>
      <c r="P25" s="6"/>
      <c r="Q25" s="6"/>
      <c r="R25" s="6"/>
      <c r="S25" s="6"/>
      <c r="T25" s="6"/>
      <c r="U25" s="6"/>
      <c r="V25" s="6"/>
      <c r="W25" s="6"/>
      <c r="X25" s="6"/>
      <c r="Y25" s="6"/>
      <c r="Z25" s="6"/>
    </row>
    <row r="26">
      <c r="A26" s="63" t="s">
        <v>47</v>
      </c>
      <c r="D26" s="64" t="s">
        <v>48</v>
      </c>
      <c r="E26" s="65">
        <f>E25-(B18-B19)</f>
        <v>-2879.07672</v>
      </c>
      <c r="H26" s="56"/>
      <c r="I26" s="56"/>
      <c r="J26" s="6"/>
      <c r="K26" s="51"/>
      <c r="L26" s="6"/>
      <c r="M26" s="6"/>
      <c r="N26" s="6"/>
      <c r="O26" s="6"/>
      <c r="P26" s="6"/>
      <c r="Q26" s="6"/>
      <c r="R26" s="6"/>
      <c r="S26" s="6"/>
      <c r="T26" s="6"/>
      <c r="U26" s="6"/>
      <c r="V26" s="6"/>
      <c r="W26" s="6"/>
      <c r="X26" s="6"/>
      <c r="Y26" s="6"/>
      <c r="Z26" s="6"/>
    </row>
    <row r="27">
      <c r="H27" s="6"/>
      <c r="I27" s="6"/>
      <c r="J27" s="6"/>
      <c r="K27" s="6"/>
      <c r="L27" s="6"/>
      <c r="M27" s="6"/>
      <c r="N27" s="6"/>
      <c r="O27" s="6"/>
      <c r="P27" s="6"/>
      <c r="Q27" s="6"/>
      <c r="R27" s="6"/>
      <c r="S27" s="6"/>
      <c r="T27" s="6"/>
      <c r="U27" s="6"/>
      <c r="V27" s="6"/>
      <c r="W27" s="6"/>
      <c r="X27" s="6"/>
      <c r="Y27" s="6"/>
      <c r="Z27" s="6"/>
    </row>
    <row r="28">
      <c r="A28" s="6"/>
      <c r="B28" s="6"/>
      <c r="C28" s="6"/>
      <c r="H28" s="23"/>
      <c r="J28" s="66"/>
      <c r="K28" s="51"/>
      <c r="L28" s="6"/>
      <c r="M28" s="6"/>
      <c r="N28" s="6"/>
      <c r="O28" s="6"/>
      <c r="P28" s="6"/>
      <c r="Q28" s="6"/>
      <c r="R28" s="6"/>
      <c r="S28" s="6"/>
      <c r="T28" s="6"/>
      <c r="U28" s="6"/>
      <c r="V28" s="6"/>
      <c r="W28" s="6"/>
      <c r="X28" s="6"/>
      <c r="Y28" s="6"/>
      <c r="Z28" s="6"/>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6"/>
      <c r="B30" s="6"/>
      <c r="C30" s="6"/>
      <c r="D30" s="6"/>
      <c r="E30" s="6"/>
      <c r="F30" s="6"/>
      <c r="G30" s="6"/>
      <c r="H30" s="6"/>
      <c r="I30" s="6"/>
      <c r="J30" s="23"/>
      <c r="K30" s="6"/>
      <c r="L30" s="6"/>
      <c r="O30" s="6"/>
      <c r="P30" s="6"/>
      <c r="Q30" s="6"/>
      <c r="R30" s="6"/>
      <c r="S30" s="6"/>
      <c r="T30" s="6"/>
      <c r="U30" s="6"/>
      <c r="V30" s="6"/>
      <c r="W30" s="6"/>
      <c r="X30" s="6"/>
      <c r="Y30" s="6"/>
      <c r="Z30" s="6"/>
    </row>
    <row r="31">
      <c r="A31" s="1" t="s">
        <v>49</v>
      </c>
      <c r="B31" s="3"/>
      <c r="C31" s="3"/>
      <c r="F31" s="3"/>
      <c r="G31" s="3"/>
      <c r="H31" s="6"/>
      <c r="I31" s="6"/>
      <c r="J31" s="6"/>
      <c r="K31" s="6"/>
      <c r="L31" s="6"/>
      <c r="M31" s="6"/>
      <c r="N31" s="6"/>
      <c r="O31" s="6"/>
      <c r="P31" s="6"/>
      <c r="Q31" s="6"/>
      <c r="R31" s="6"/>
      <c r="S31" s="6"/>
      <c r="T31" s="6"/>
      <c r="U31" s="6"/>
      <c r="V31" s="6"/>
      <c r="W31" s="6"/>
      <c r="X31" s="6"/>
      <c r="Y31" s="6"/>
      <c r="Z31" s="6"/>
    </row>
    <row r="32">
      <c r="A32" s="67" t="s">
        <v>50</v>
      </c>
      <c r="B32" s="68">
        <f>B2+B3</f>
        <v>720000</v>
      </c>
      <c r="C32" s="3"/>
      <c r="F32" s="3"/>
      <c r="G32" s="3"/>
      <c r="H32" s="6"/>
      <c r="I32" s="6"/>
      <c r="J32" s="6"/>
      <c r="K32" s="6"/>
      <c r="L32" s="6"/>
      <c r="M32" s="6"/>
      <c r="N32" s="6"/>
      <c r="O32" s="6"/>
      <c r="P32" s="6"/>
      <c r="Q32" s="6"/>
      <c r="R32" s="6"/>
      <c r="S32" s="6"/>
      <c r="T32" s="6"/>
      <c r="U32" s="6"/>
      <c r="V32" s="6"/>
      <c r="W32" s="6"/>
      <c r="X32" s="6"/>
      <c r="Y32" s="6"/>
      <c r="Z32" s="6"/>
    </row>
    <row r="33">
      <c r="A33" s="67" t="s">
        <v>51</v>
      </c>
      <c r="B33" s="69">
        <f>B4*12</f>
        <v>300</v>
      </c>
      <c r="C33" s="3"/>
      <c r="F33" s="3"/>
      <c r="G33" s="3"/>
      <c r="H33" s="6"/>
      <c r="I33" s="6"/>
      <c r="J33" s="6"/>
      <c r="K33" s="6"/>
      <c r="L33" s="6"/>
      <c r="M33" s="6"/>
      <c r="N33" s="6"/>
      <c r="O33" s="6"/>
      <c r="P33" s="6"/>
      <c r="Q33" s="6"/>
      <c r="R33" s="6"/>
      <c r="S33" s="6"/>
      <c r="T33" s="6"/>
      <c r="U33" s="6"/>
      <c r="V33" s="6"/>
      <c r="W33" s="6"/>
      <c r="X33" s="6"/>
      <c r="Y33" s="6"/>
      <c r="Z33" s="6"/>
    </row>
    <row r="34">
      <c r="A34" s="67" t="s">
        <v>52</v>
      </c>
      <c r="B34" s="70">
        <f>B5/12</f>
        <v>0.004366666667</v>
      </c>
      <c r="C34" s="3"/>
      <c r="F34" s="3"/>
      <c r="G34" s="3"/>
      <c r="H34" s="6"/>
      <c r="I34" s="6"/>
      <c r="J34" s="6"/>
      <c r="K34" s="6"/>
      <c r="L34" s="6"/>
      <c r="M34" s="6"/>
      <c r="N34" s="6"/>
      <c r="O34" s="6"/>
      <c r="P34" s="6"/>
      <c r="Q34" s="6"/>
      <c r="R34" s="6"/>
      <c r="S34" s="6"/>
      <c r="T34" s="6"/>
      <c r="U34" s="6"/>
      <c r="V34" s="6"/>
      <c r="W34" s="6"/>
      <c r="X34" s="6"/>
      <c r="Y34" s="6"/>
      <c r="Z34" s="6"/>
    </row>
    <row r="35">
      <c r="A35" s="71" t="s">
        <v>53</v>
      </c>
      <c r="B35" s="72">
        <f>PMT(B34,B33,-B32,0)</f>
        <v>4310.336825</v>
      </c>
      <c r="C35" s="3"/>
      <c r="F35" s="3"/>
      <c r="G35" s="19" t="s">
        <v>54</v>
      </c>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23" t="s">
        <v>55</v>
      </c>
      <c r="N36" s="6"/>
      <c r="O36" s="6"/>
      <c r="P36" s="6"/>
      <c r="Q36" s="6"/>
      <c r="R36" s="6"/>
      <c r="S36" s="6"/>
      <c r="T36" s="6"/>
      <c r="U36" s="6"/>
      <c r="V36" s="6"/>
      <c r="W36" s="6"/>
      <c r="X36" s="6"/>
      <c r="Y36" s="6"/>
      <c r="Z36" s="6"/>
    </row>
    <row r="37">
      <c r="A37" s="73" t="s">
        <v>56</v>
      </c>
      <c r="B37" s="36"/>
      <c r="C37" s="36"/>
      <c r="D37" s="36"/>
      <c r="E37" s="36"/>
      <c r="F37" s="6"/>
      <c r="G37" s="74"/>
      <c r="H37" s="74"/>
      <c r="I37" s="6"/>
      <c r="J37" s="6"/>
      <c r="K37" s="6"/>
      <c r="L37" s="6"/>
      <c r="M37" s="6"/>
      <c r="N37" s="6"/>
      <c r="O37" s="6"/>
      <c r="P37" s="6"/>
      <c r="Q37" s="6"/>
      <c r="R37" s="6"/>
      <c r="S37" s="6"/>
      <c r="T37" s="6"/>
      <c r="U37" s="6"/>
      <c r="V37" s="6"/>
      <c r="W37" s="6"/>
      <c r="X37" s="6"/>
      <c r="Y37" s="6"/>
      <c r="Z37" s="6"/>
    </row>
    <row r="38">
      <c r="A38" s="75"/>
      <c r="B38" s="75"/>
      <c r="C38" s="75"/>
      <c r="D38" s="75"/>
      <c r="E38" s="75"/>
      <c r="G38" s="76"/>
      <c r="H38" s="76"/>
      <c r="I38" s="75"/>
      <c r="J38" s="75"/>
      <c r="K38" s="75"/>
      <c r="L38" s="75"/>
      <c r="M38" s="75"/>
      <c r="N38" s="6"/>
      <c r="O38" s="6"/>
      <c r="P38" s="6"/>
      <c r="Q38" s="6"/>
      <c r="R38" s="6"/>
      <c r="S38" s="6"/>
      <c r="T38" s="6"/>
      <c r="U38" s="6"/>
      <c r="V38" s="6"/>
      <c r="W38" s="6"/>
      <c r="X38" s="6"/>
      <c r="Y38" s="6"/>
      <c r="Z38" s="6"/>
    </row>
    <row r="39" ht="22.5" customHeight="1">
      <c r="A39" s="77" t="s">
        <v>57</v>
      </c>
      <c r="B39" s="77" t="s">
        <v>58</v>
      </c>
      <c r="C39" s="77" t="s">
        <v>59</v>
      </c>
      <c r="D39" s="77" t="s">
        <v>60</v>
      </c>
      <c r="E39" s="77" t="s">
        <v>61</v>
      </c>
      <c r="G39" s="78" t="s">
        <v>62</v>
      </c>
      <c r="H39" s="78" t="s">
        <v>63</v>
      </c>
      <c r="I39" s="77" t="s">
        <v>64</v>
      </c>
      <c r="J39" s="77" t="s">
        <v>65</v>
      </c>
      <c r="K39" s="77" t="s">
        <v>66</v>
      </c>
      <c r="L39" s="77" t="s">
        <v>67</v>
      </c>
      <c r="M39" s="77" t="s">
        <v>68</v>
      </c>
      <c r="N39" s="6"/>
      <c r="O39" s="6"/>
      <c r="P39" s="6"/>
      <c r="Q39" s="6"/>
      <c r="R39" s="6"/>
      <c r="S39" s="6"/>
      <c r="T39" s="6"/>
      <c r="U39" s="6"/>
      <c r="V39" s="6"/>
      <c r="W39" s="6"/>
      <c r="X39" s="6"/>
      <c r="Y39" s="6"/>
      <c r="Z39" s="6"/>
    </row>
    <row r="40" ht="22.5" customHeight="1">
      <c r="A40" s="79">
        <v>1.0</v>
      </c>
      <c r="B40" s="80">
        <f t="shared" ref="B40:B64" si="1">$D$70*12</f>
        <v>51724.0419</v>
      </c>
      <c r="C40" s="80">
        <f>SUM(OFFSET($F$70,0,0,12,1))</f>
        <v>14337.12126</v>
      </c>
      <c r="D40" s="80">
        <f>SUM(OFFSET($E$70,0,0,12,1))</f>
        <v>37386.92064</v>
      </c>
      <c r="E40" s="81">
        <f t="shared" ref="E40:E64" si="2">OFFSET($G$69,$A40*12,0,1,1)</f>
        <v>705662.8787</v>
      </c>
      <c r="G40" s="82">
        <f t="shared" ref="G40:G64" si="3">-B$40+(B$24*12)</f>
        <v>-73174.0419</v>
      </c>
      <c r="H40" s="83">
        <f t="shared" ref="H40:H64" si="4">$B$24*12</f>
        <v>-21450</v>
      </c>
      <c r="I40" s="80">
        <f t="shared" ref="I40:I64" si="5">E$13*12</f>
        <v>24288</v>
      </c>
      <c r="J40" s="80">
        <f t="shared" ref="J40:J64" si="6">I40 +(H40*B$6) - (D40*B$6)</f>
        <v>-5130.46032</v>
      </c>
      <c r="K40" s="80">
        <f t="shared" ref="K40:K64" si="7">I40 - (J40*0.45)</f>
        <v>26596.70714</v>
      </c>
      <c r="L40" s="80">
        <f t="shared" ref="L40:L64" si="8">G40+K40</f>
        <v>-46577.33475</v>
      </c>
      <c r="M40" s="81">
        <f t="shared" ref="M40:M65" si="9">L40+C40</f>
        <v>-32240.2135</v>
      </c>
      <c r="N40" s="6"/>
      <c r="O40" s="6"/>
      <c r="P40" s="6"/>
      <c r="Q40" s="6"/>
      <c r="R40" s="6"/>
      <c r="S40" s="6"/>
      <c r="T40" s="6"/>
      <c r="U40" s="6"/>
      <c r="V40" s="6"/>
      <c r="W40" s="6"/>
      <c r="X40" s="6"/>
      <c r="Y40" s="6"/>
      <c r="Z40" s="6"/>
    </row>
    <row r="41" ht="22.5" customHeight="1">
      <c r="A41" s="84">
        <v>2.0</v>
      </c>
      <c r="B41" s="80">
        <f t="shared" si="1"/>
        <v>51724.0419</v>
      </c>
      <c r="C41" s="80">
        <f t="shared" ref="C41:C64" si="10">SUM(OFFSET($F$70,$A40*12,0,12,1))</f>
        <v>15106.69452</v>
      </c>
      <c r="D41" s="80">
        <f t="shared" ref="D41:D64" si="11">SUM(OFFSET($E$70,$A40*12,0,12,1))</f>
        <v>36617.34738</v>
      </c>
      <c r="E41" s="81">
        <f t="shared" si="2"/>
        <v>690556.1842</v>
      </c>
      <c r="F41" s="6"/>
      <c r="G41" s="82">
        <f t="shared" si="3"/>
        <v>-73174.0419</v>
      </c>
      <c r="H41" s="83">
        <f t="shared" si="4"/>
        <v>-21450</v>
      </c>
      <c r="I41" s="80">
        <f t="shared" si="5"/>
        <v>24288</v>
      </c>
      <c r="J41" s="80">
        <f t="shared" si="6"/>
        <v>-4745.673689</v>
      </c>
      <c r="K41" s="80">
        <f t="shared" si="7"/>
        <v>26423.55316</v>
      </c>
      <c r="L41" s="80">
        <f t="shared" si="8"/>
        <v>-46750.48874</v>
      </c>
      <c r="M41" s="81">
        <f t="shared" si="9"/>
        <v>-31643.79422</v>
      </c>
      <c r="N41" s="6"/>
      <c r="O41" s="6"/>
      <c r="P41" s="6"/>
      <c r="Q41" s="6"/>
      <c r="R41" s="6"/>
      <c r="S41" s="6"/>
      <c r="T41" s="6"/>
      <c r="U41" s="6"/>
      <c r="V41" s="6"/>
      <c r="W41" s="6"/>
      <c r="X41" s="6"/>
      <c r="Y41" s="6"/>
      <c r="Z41" s="6"/>
    </row>
    <row r="42" ht="22.5" customHeight="1">
      <c r="A42" s="84">
        <v>3.0</v>
      </c>
      <c r="B42" s="80">
        <f t="shared" si="1"/>
        <v>51724.0419</v>
      </c>
      <c r="C42" s="80">
        <f t="shared" si="10"/>
        <v>15917.57614</v>
      </c>
      <c r="D42" s="80">
        <f t="shared" si="11"/>
        <v>35806.46575</v>
      </c>
      <c r="E42" s="81">
        <f t="shared" si="2"/>
        <v>674638.6081</v>
      </c>
      <c r="F42" s="6"/>
      <c r="G42" s="82">
        <f t="shared" si="3"/>
        <v>-73174.0419</v>
      </c>
      <c r="H42" s="83">
        <f t="shared" si="4"/>
        <v>-21450</v>
      </c>
      <c r="I42" s="80">
        <f t="shared" si="5"/>
        <v>24288</v>
      </c>
      <c r="J42" s="80">
        <f t="shared" si="6"/>
        <v>-4340.232877</v>
      </c>
      <c r="K42" s="80">
        <f t="shared" si="7"/>
        <v>26241.10479</v>
      </c>
      <c r="L42" s="80">
        <f t="shared" si="8"/>
        <v>-46932.9371</v>
      </c>
      <c r="M42" s="81">
        <f t="shared" si="9"/>
        <v>-31015.36096</v>
      </c>
      <c r="N42" s="6"/>
      <c r="O42" s="6"/>
      <c r="P42" s="6"/>
      <c r="Q42" s="6"/>
      <c r="R42" s="6"/>
      <c r="S42" s="6"/>
      <c r="T42" s="6"/>
      <c r="U42" s="6"/>
      <c r="V42" s="6"/>
      <c r="W42" s="6"/>
      <c r="X42" s="6"/>
      <c r="Y42" s="6"/>
      <c r="Z42" s="6"/>
    </row>
    <row r="43" ht="22.5" customHeight="1">
      <c r="A43" s="84">
        <v>4.0</v>
      </c>
      <c r="B43" s="80">
        <f t="shared" si="1"/>
        <v>51724.0419</v>
      </c>
      <c r="C43" s="80">
        <f t="shared" si="10"/>
        <v>16771.98344</v>
      </c>
      <c r="D43" s="80">
        <f t="shared" si="11"/>
        <v>34952.05846</v>
      </c>
      <c r="E43" s="81">
        <f t="shared" si="2"/>
        <v>657866.6246</v>
      </c>
      <c r="F43" s="6"/>
      <c r="G43" s="82">
        <f t="shared" si="3"/>
        <v>-73174.0419</v>
      </c>
      <c r="H43" s="83">
        <f t="shared" si="4"/>
        <v>-21450</v>
      </c>
      <c r="I43" s="80">
        <f t="shared" si="5"/>
        <v>24288</v>
      </c>
      <c r="J43" s="80">
        <f t="shared" si="6"/>
        <v>-3913.02923</v>
      </c>
      <c r="K43" s="80">
        <f t="shared" si="7"/>
        <v>26048.86315</v>
      </c>
      <c r="L43" s="80">
        <f t="shared" si="8"/>
        <v>-47125.17874</v>
      </c>
      <c r="M43" s="81">
        <f t="shared" si="9"/>
        <v>-30353.19531</v>
      </c>
      <c r="N43" s="6"/>
      <c r="O43" s="6"/>
      <c r="P43" s="6"/>
      <c r="Q43" s="6"/>
      <c r="R43" s="6"/>
      <c r="S43" s="6"/>
      <c r="T43" s="6"/>
      <c r="U43" s="6"/>
      <c r="V43" s="6"/>
      <c r="W43" s="6"/>
      <c r="X43" s="6"/>
      <c r="Y43" s="6"/>
      <c r="Z43" s="6"/>
    </row>
    <row r="44" ht="22.5" customHeight="1">
      <c r="A44" s="84">
        <v>5.0</v>
      </c>
      <c r="B44" s="80">
        <f t="shared" si="1"/>
        <v>51724.0419</v>
      </c>
      <c r="C44" s="80">
        <f t="shared" si="10"/>
        <v>17672.25273</v>
      </c>
      <c r="D44" s="80">
        <f t="shared" si="11"/>
        <v>34051.78917</v>
      </c>
      <c r="E44" s="81">
        <f t="shared" si="2"/>
        <v>640194.3719</v>
      </c>
      <c r="F44" s="6"/>
      <c r="G44" s="82">
        <f t="shared" si="3"/>
        <v>-73174.0419</v>
      </c>
      <c r="H44" s="83">
        <f t="shared" si="4"/>
        <v>-21450</v>
      </c>
      <c r="I44" s="80">
        <f t="shared" si="5"/>
        <v>24288</v>
      </c>
      <c r="J44" s="80">
        <f t="shared" si="6"/>
        <v>-3462.894584</v>
      </c>
      <c r="K44" s="80">
        <f t="shared" si="7"/>
        <v>25846.30256</v>
      </c>
      <c r="L44" s="80">
        <f t="shared" si="8"/>
        <v>-47327.73933</v>
      </c>
      <c r="M44" s="81">
        <f t="shared" si="9"/>
        <v>-29655.48661</v>
      </c>
      <c r="N44" s="6"/>
      <c r="O44" s="6"/>
      <c r="P44" s="6"/>
      <c r="Q44" s="6"/>
      <c r="R44" s="6"/>
      <c r="S44" s="6"/>
      <c r="T44" s="6"/>
      <c r="U44" s="6"/>
      <c r="V44" s="6"/>
      <c r="W44" s="6"/>
      <c r="X44" s="6"/>
      <c r="Y44" s="6"/>
      <c r="Z44" s="6"/>
    </row>
    <row r="45" ht="22.5" customHeight="1">
      <c r="A45" s="84">
        <v>6.0</v>
      </c>
      <c r="B45" s="80">
        <f t="shared" si="1"/>
        <v>51724.0419</v>
      </c>
      <c r="C45" s="80">
        <f t="shared" si="10"/>
        <v>18620.84575</v>
      </c>
      <c r="D45" s="80">
        <f t="shared" si="11"/>
        <v>33103.19615</v>
      </c>
      <c r="E45" s="81">
        <f t="shared" si="2"/>
        <v>621573.5262</v>
      </c>
      <c r="F45" s="6"/>
      <c r="G45" s="82">
        <f t="shared" si="3"/>
        <v>-73174.0419</v>
      </c>
      <c r="H45" s="83">
        <f t="shared" si="4"/>
        <v>-21450</v>
      </c>
      <c r="I45" s="80">
        <f t="shared" si="5"/>
        <v>24288</v>
      </c>
      <c r="J45" s="80">
        <f t="shared" si="6"/>
        <v>-2988.598074</v>
      </c>
      <c r="K45" s="80">
        <f t="shared" si="7"/>
        <v>25632.86913</v>
      </c>
      <c r="L45" s="80">
        <f t="shared" si="8"/>
        <v>-47541.17276</v>
      </c>
      <c r="M45" s="81">
        <f t="shared" si="9"/>
        <v>-28920.32701</v>
      </c>
      <c r="N45" s="6"/>
      <c r="O45" s="6"/>
      <c r="P45" s="6"/>
      <c r="Q45" s="6"/>
      <c r="R45" s="6"/>
      <c r="S45" s="6"/>
      <c r="T45" s="6"/>
      <c r="U45" s="6"/>
      <c r="V45" s="6"/>
      <c r="W45" s="6"/>
      <c r="X45" s="6"/>
      <c r="Y45" s="6"/>
      <c r="Z45" s="6"/>
    </row>
    <row r="46" ht="22.5" customHeight="1">
      <c r="A46" s="84">
        <v>7.0</v>
      </c>
      <c r="B46" s="80">
        <f t="shared" si="1"/>
        <v>51724.0419</v>
      </c>
      <c r="C46" s="80">
        <f t="shared" si="10"/>
        <v>19620.35637</v>
      </c>
      <c r="D46" s="80">
        <f t="shared" si="11"/>
        <v>32103.68553</v>
      </c>
      <c r="E46" s="81">
        <f t="shared" si="2"/>
        <v>601953.1698</v>
      </c>
      <c r="F46" s="6"/>
      <c r="G46" s="82">
        <f t="shared" si="3"/>
        <v>-73174.0419</v>
      </c>
      <c r="H46" s="83">
        <f t="shared" si="4"/>
        <v>-21450</v>
      </c>
      <c r="I46" s="80">
        <f t="shared" si="5"/>
        <v>24288</v>
      </c>
      <c r="J46" s="80">
        <f t="shared" si="6"/>
        <v>-2488.842763</v>
      </c>
      <c r="K46" s="80">
        <f t="shared" si="7"/>
        <v>25407.97924</v>
      </c>
      <c r="L46" s="80">
        <f t="shared" si="8"/>
        <v>-47766.06265</v>
      </c>
      <c r="M46" s="81">
        <f t="shared" si="9"/>
        <v>-28145.70628</v>
      </c>
      <c r="N46" s="6"/>
      <c r="O46" s="6"/>
      <c r="P46" s="6"/>
      <c r="Q46" s="6"/>
      <c r="R46" s="6"/>
      <c r="S46" s="6"/>
      <c r="T46" s="6"/>
      <c r="U46" s="6"/>
      <c r="V46" s="6"/>
      <c r="W46" s="6"/>
      <c r="X46" s="6"/>
      <c r="Y46" s="6"/>
      <c r="Z46" s="6"/>
    </row>
    <row r="47" ht="22.5" customHeight="1">
      <c r="A47" s="84">
        <v>8.0</v>
      </c>
      <c r="B47" s="80">
        <f t="shared" si="1"/>
        <v>51724.0419</v>
      </c>
      <c r="C47" s="80">
        <f t="shared" si="10"/>
        <v>20673.5177</v>
      </c>
      <c r="D47" s="80">
        <f t="shared" si="11"/>
        <v>31050.5242</v>
      </c>
      <c r="E47" s="81">
        <f t="shared" si="2"/>
        <v>581279.6521</v>
      </c>
      <c r="F47" s="6"/>
      <c r="G47" s="82">
        <f t="shared" si="3"/>
        <v>-73174.0419</v>
      </c>
      <c r="H47" s="83">
        <f t="shared" si="4"/>
        <v>-21450</v>
      </c>
      <c r="I47" s="80">
        <f t="shared" si="5"/>
        <v>24288</v>
      </c>
      <c r="J47" s="80">
        <f t="shared" si="6"/>
        <v>-1962.262099</v>
      </c>
      <c r="K47" s="80">
        <f t="shared" si="7"/>
        <v>25171.01794</v>
      </c>
      <c r="L47" s="80">
        <f t="shared" si="8"/>
        <v>-48003.02395</v>
      </c>
      <c r="M47" s="81">
        <f t="shared" si="9"/>
        <v>-27329.50625</v>
      </c>
      <c r="N47" s="6"/>
      <c r="O47" s="6"/>
      <c r="P47" s="6"/>
      <c r="Q47" s="6"/>
      <c r="R47" s="6"/>
      <c r="S47" s="6"/>
      <c r="T47" s="6"/>
      <c r="U47" s="6"/>
      <c r="V47" s="6"/>
      <c r="W47" s="6"/>
      <c r="X47" s="6"/>
      <c r="Y47" s="6"/>
      <c r="Z47" s="6"/>
    </row>
    <row r="48" ht="22.5" customHeight="1">
      <c r="A48" s="84">
        <v>9.0</v>
      </c>
      <c r="B48" s="80">
        <f t="shared" si="1"/>
        <v>51724.0419</v>
      </c>
      <c r="C48" s="80">
        <f t="shared" si="10"/>
        <v>21783.20954</v>
      </c>
      <c r="D48" s="80">
        <f t="shared" si="11"/>
        <v>29940.83236</v>
      </c>
      <c r="E48" s="81">
        <f t="shared" si="2"/>
        <v>559496.4426</v>
      </c>
      <c r="F48" s="6"/>
      <c r="G48" s="82">
        <f t="shared" si="3"/>
        <v>-73174.0419</v>
      </c>
      <c r="H48" s="83">
        <f t="shared" si="4"/>
        <v>-21450</v>
      </c>
      <c r="I48" s="80">
        <f t="shared" si="5"/>
        <v>24288</v>
      </c>
      <c r="J48" s="80">
        <f t="shared" si="6"/>
        <v>-1407.41618</v>
      </c>
      <c r="K48" s="80">
        <f t="shared" si="7"/>
        <v>24921.33728</v>
      </c>
      <c r="L48" s="80">
        <f t="shared" si="8"/>
        <v>-48252.70462</v>
      </c>
      <c r="M48" s="81">
        <f t="shared" si="9"/>
        <v>-26469.49508</v>
      </c>
      <c r="N48" s="6"/>
      <c r="O48" s="6"/>
      <c r="P48" s="6"/>
      <c r="Q48" s="6"/>
      <c r="R48" s="6"/>
      <c r="S48" s="6"/>
      <c r="T48" s="6"/>
      <c r="U48" s="6"/>
      <c r="V48" s="6"/>
      <c r="W48" s="6"/>
      <c r="X48" s="6"/>
      <c r="Y48" s="6"/>
      <c r="Z48" s="6"/>
    </row>
    <row r="49" ht="22.5" customHeight="1">
      <c r="A49" s="84">
        <v>10.0</v>
      </c>
      <c r="B49" s="80">
        <f t="shared" si="1"/>
        <v>51724.0419</v>
      </c>
      <c r="C49" s="80">
        <f t="shared" si="10"/>
        <v>22952.46627</v>
      </c>
      <c r="D49" s="80">
        <f t="shared" si="11"/>
        <v>28771.57563</v>
      </c>
      <c r="E49" s="81">
        <f t="shared" si="2"/>
        <v>536543.9763</v>
      </c>
      <c r="F49" s="6"/>
      <c r="G49" s="82">
        <f t="shared" si="3"/>
        <v>-73174.0419</v>
      </c>
      <c r="H49" s="83">
        <f t="shared" si="4"/>
        <v>-21450</v>
      </c>
      <c r="I49" s="80">
        <f t="shared" si="5"/>
        <v>24288</v>
      </c>
      <c r="J49" s="80">
        <f t="shared" si="6"/>
        <v>-822.7878125</v>
      </c>
      <c r="K49" s="80">
        <f t="shared" si="7"/>
        <v>24658.25452</v>
      </c>
      <c r="L49" s="80">
        <f t="shared" si="8"/>
        <v>-48515.78738</v>
      </c>
      <c r="M49" s="81">
        <f t="shared" si="9"/>
        <v>-25563.32111</v>
      </c>
      <c r="N49" s="6"/>
      <c r="O49" s="6"/>
      <c r="P49" s="6"/>
      <c r="Q49" s="6"/>
      <c r="R49" s="6"/>
      <c r="S49" s="6"/>
      <c r="T49" s="6"/>
      <c r="U49" s="6"/>
      <c r="V49" s="6"/>
      <c r="W49" s="6"/>
      <c r="X49" s="6"/>
      <c r="Y49" s="6"/>
      <c r="Z49" s="6"/>
    </row>
    <row r="50" ht="22.5" customHeight="1">
      <c r="A50" s="84">
        <v>11.0</v>
      </c>
      <c r="B50" s="80">
        <f t="shared" si="1"/>
        <v>51724.0419</v>
      </c>
      <c r="C50" s="80">
        <f t="shared" si="10"/>
        <v>24184.48517</v>
      </c>
      <c r="D50" s="80">
        <f t="shared" si="11"/>
        <v>27539.55673</v>
      </c>
      <c r="E50" s="81">
        <f t="shared" si="2"/>
        <v>512359.4911</v>
      </c>
      <c r="F50" s="6"/>
      <c r="G50" s="82">
        <f t="shared" si="3"/>
        <v>-73174.0419</v>
      </c>
      <c r="H50" s="83">
        <f t="shared" si="4"/>
        <v>-21450</v>
      </c>
      <c r="I50" s="80">
        <f t="shared" si="5"/>
        <v>24288</v>
      </c>
      <c r="J50" s="80">
        <f t="shared" si="6"/>
        <v>-206.7783638</v>
      </c>
      <c r="K50" s="80">
        <f t="shared" si="7"/>
        <v>24381.05026</v>
      </c>
      <c r="L50" s="80">
        <f t="shared" si="8"/>
        <v>-48792.99163</v>
      </c>
      <c r="M50" s="81">
        <f t="shared" si="9"/>
        <v>-24608.50646</v>
      </c>
      <c r="N50" s="6"/>
      <c r="O50" s="6"/>
      <c r="P50" s="6"/>
      <c r="Q50" s="6"/>
      <c r="R50" s="6"/>
      <c r="S50" s="6"/>
      <c r="T50" s="6"/>
      <c r="U50" s="6"/>
      <c r="V50" s="6"/>
      <c r="W50" s="6"/>
      <c r="X50" s="6"/>
      <c r="Y50" s="6"/>
      <c r="Z50" s="6"/>
    </row>
    <row r="51" ht="22.5" customHeight="1">
      <c r="A51" s="84">
        <v>12.0</v>
      </c>
      <c r="B51" s="80">
        <f t="shared" si="1"/>
        <v>51724.0419</v>
      </c>
      <c r="C51" s="80">
        <f t="shared" si="10"/>
        <v>25482.63511</v>
      </c>
      <c r="D51" s="80">
        <f t="shared" si="11"/>
        <v>26241.40679</v>
      </c>
      <c r="E51" s="81">
        <f t="shared" si="2"/>
        <v>486876.856</v>
      </c>
      <c r="F51" s="6"/>
      <c r="G51" s="82">
        <f t="shared" si="3"/>
        <v>-73174.0419</v>
      </c>
      <c r="H51" s="83">
        <f t="shared" si="4"/>
        <v>-21450</v>
      </c>
      <c r="I51" s="80">
        <f t="shared" si="5"/>
        <v>24288</v>
      </c>
      <c r="J51" s="80">
        <f t="shared" si="6"/>
        <v>442.296607</v>
      </c>
      <c r="K51" s="80">
        <f t="shared" si="7"/>
        <v>24088.96653</v>
      </c>
      <c r="L51" s="80">
        <f t="shared" si="8"/>
        <v>-49085.07537</v>
      </c>
      <c r="M51" s="81">
        <f t="shared" si="9"/>
        <v>-23602.44026</v>
      </c>
      <c r="N51" s="6"/>
      <c r="O51" s="6"/>
      <c r="P51" s="6"/>
      <c r="Q51" s="6"/>
      <c r="R51" s="6"/>
      <c r="S51" s="6"/>
      <c r="T51" s="6"/>
      <c r="U51" s="6"/>
      <c r="V51" s="6"/>
      <c r="W51" s="6"/>
      <c r="X51" s="6"/>
      <c r="Y51" s="6"/>
      <c r="Z51" s="6"/>
    </row>
    <row r="52" ht="22.5" customHeight="1">
      <c r="A52" s="84">
        <v>13.0</v>
      </c>
      <c r="B52" s="80">
        <f t="shared" si="1"/>
        <v>51724.0419</v>
      </c>
      <c r="C52" s="80">
        <f t="shared" si="10"/>
        <v>26850.46581</v>
      </c>
      <c r="D52" s="80">
        <f t="shared" si="11"/>
        <v>24873.57609</v>
      </c>
      <c r="E52" s="81">
        <f t="shared" si="2"/>
        <v>460026.3902</v>
      </c>
      <c r="F52" s="6"/>
      <c r="G52" s="82">
        <f t="shared" si="3"/>
        <v>-73174.0419</v>
      </c>
      <c r="H52" s="83">
        <f t="shared" si="4"/>
        <v>-21450</v>
      </c>
      <c r="I52" s="80">
        <f t="shared" si="5"/>
        <v>24288</v>
      </c>
      <c r="J52" s="80">
        <f t="shared" si="6"/>
        <v>1126.211957</v>
      </c>
      <c r="K52" s="80">
        <f t="shared" si="7"/>
        <v>23781.20462</v>
      </c>
      <c r="L52" s="80">
        <f t="shared" si="8"/>
        <v>-49392.83728</v>
      </c>
      <c r="M52" s="81">
        <f t="shared" si="9"/>
        <v>-22542.37147</v>
      </c>
      <c r="N52" s="6"/>
      <c r="O52" s="6"/>
      <c r="P52" s="6"/>
      <c r="Q52" s="6"/>
      <c r="R52" s="6"/>
      <c r="S52" s="6"/>
      <c r="T52" s="6"/>
      <c r="U52" s="6"/>
      <c r="V52" s="6"/>
      <c r="W52" s="6"/>
      <c r="X52" s="6"/>
      <c r="Y52" s="6"/>
      <c r="Z52" s="6"/>
    </row>
    <row r="53" ht="22.5" customHeight="1">
      <c r="A53" s="84">
        <v>14.0</v>
      </c>
      <c r="B53" s="80">
        <f t="shared" si="1"/>
        <v>51724.0419</v>
      </c>
      <c r="C53" s="80">
        <f t="shared" si="10"/>
        <v>28291.71752</v>
      </c>
      <c r="D53" s="80">
        <f t="shared" si="11"/>
        <v>23432.32437</v>
      </c>
      <c r="E53" s="81">
        <f t="shared" si="2"/>
        <v>431734.6727</v>
      </c>
      <c r="F53" s="6"/>
      <c r="G53" s="82">
        <f t="shared" si="3"/>
        <v>-73174.0419</v>
      </c>
      <c r="H53" s="83">
        <f t="shared" si="4"/>
        <v>-21450</v>
      </c>
      <c r="I53" s="80">
        <f t="shared" si="5"/>
        <v>24288</v>
      </c>
      <c r="J53" s="80">
        <f t="shared" si="6"/>
        <v>1846.837813</v>
      </c>
      <c r="K53" s="80">
        <f t="shared" si="7"/>
        <v>23456.92298</v>
      </c>
      <c r="L53" s="80">
        <f t="shared" si="8"/>
        <v>-49717.11891</v>
      </c>
      <c r="M53" s="81">
        <f t="shared" si="9"/>
        <v>-21425.40139</v>
      </c>
      <c r="N53" s="6"/>
      <c r="O53" s="6"/>
      <c r="P53" s="6"/>
      <c r="Q53" s="6"/>
      <c r="R53" s="6"/>
      <c r="S53" s="6"/>
      <c r="T53" s="6"/>
      <c r="U53" s="6"/>
      <c r="V53" s="6"/>
      <c r="W53" s="6"/>
      <c r="X53" s="6"/>
      <c r="Y53" s="6"/>
      <c r="Z53" s="6"/>
    </row>
    <row r="54" ht="22.5" customHeight="1">
      <c r="A54" s="84">
        <v>15.0</v>
      </c>
      <c r="B54" s="80">
        <f t="shared" si="1"/>
        <v>51724.0419</v>
      </c>
      <c r="C54" s="80">
        <f t="shared" si="10"/>
        <v>29810.33126</v>
      </c>
      <c r="D54" s="80">
        <f t="shared" si="11"/>
        <v>21913.71064</v>
      </c>
      <c r="E54" s="81">
        <f t="shared" si="2"/>
        <v>401924.3414</v>
      </c>
      <c r="F54" s="6"/>
      <c r="G54" s="82">
        <f t="shared" si="3"/>
        <v>-73174.0419</v>
      </c>
      <c r="H54" s="83">
        <f t="shared" si="4"/>
        <v>-21450</v>
      </c>
      <c r="I54" s="80">
        <f t="shared" si="5"/>
        <v>24288</v>
      </c>
      <c r="J54" s="80">
        <f t="shared" si="6"/>
        <v>2606.144682</v>
      </c>
      <c r="K54" s="80">
        <f t="shared" si="7"/>
        <v>23115.23489</v>
      </c>
      <c r="L54" s="80">
        <f t="shared" si="8"/>
        <v>-50058.807</v>
      </c>
      <c r="M54" s="81">
        <f t="shared" si="9"/>
        <v>-20248.47574</v>
      </c>
      <c r="N54" s="6"/>
      <c r="O54" s="6"/>
      <c r="P54" s="6"/>
      <c r="Q54" s="6"/>
      <c r="R54" s="6"/>
      <c r="S54" s="6"/>
      <c r="T54" s="6"/>
      <c r="U54" s="6"/>
      <c r="V54" s="6"/>
      <c r="W54" s="6"/>
      <c r="X54" s="6"/>
      <c r="Y54" s="6"/>
      <c r="Z54" s="6"/>
    </row>
    <row r="55" ht="22.5" customHeight="1">
      <c r="A55" s="84">
        <v>16.0</v>
      </c>
      <c r="B55" s="80">
        <f t="shared" si="1"/>
        <v>51724.0419</v>
      </c>
      <c r="C55" s="80">
        <f t="shared" si="10"/>
        <v>31410.45959</v>
      </c>
      <c r="D55" s="80">
        <f t="shared" si="11"/>
        <v>20313.58231</v>
      </c>
      <c r="E55" s="81">
        <f t="shared" si="2"/>
        <v>370513.8818</v>
      </c>
      <c r="F55" s="6"/>
      <c r="G55" s="82">
        <f t="shared" si="3"/>
        <v>-73174.0419</v>
      </c>
      <c r="H55" s="83">
        <f t="shared" si="4"/>
        <v>-21450</v>
      </c>
      <c r="I55" s="80">
        <f t="shared" si="5"/>
        <v>24288</v>
      </c>
      <c r="J55" s="80">
        <f t="shared" si="6"/>
        <v>3406.208846</v>
      </c>
      <c r="K55" s="80">
        <f t="shared" si="7"/>
        <v>22755.20602</v>
      </c>
      <c r="L55" s="80">
        <f t="shared" si="8"/>
        <v>-50418.83588</v>
      </c>
      <c r="M55" s="81">
        <f t="shared" si="9"/>
        <v>-19008.37629</v>
      </c>
      <c r="N55" s="6"/>
      <c r="O55" s="6"/>
      <c r="P55" s="6"/>
      <c r="Q55" s="6"/>
      <c r="R55" s="6"/>
      <c r="S55" s="6"/>
      <c r="T55" s="6"/>
      <c r="U55" s="6"/>
      <c r="V55" s="6"/>
      <c r="W55" s="6"/>
      <c r="X55" s="6"/>
      <c r="Y55" s="6"/>
      <c r="Z55" s="6"/>
    </row>
    <row r="56" ht="22.5" customHeight="1">
      <c r="A56" s="84">
        <v>17.0</v>
      </c>
      <c r="B56" s="80">
        <f t="shared" si="1"/>
        <v>51724.0419</v>
      </c>
      <c r="C56" s="80">
        <f t="shared" si="10"/>
        <v>33096.47796</v>
      </c>
      <c r="D56" s="80">
        <f t="shared" si="11"/>
        <v>18627.56394</v>
      </c>
      <c r="E56" s="81">
        <f t="shared" si="2"/>
        <v>337417.4039</v>
      </c>
      <c r="F56" s="6"/>
      <c r="G56" s="82">
        <f t="shared" si="3"/>
        <v>-73174.0419</v>
      </c>
      <c r="H56" s="83">
        <f t="shared" si="4"/>
        <v>-21450</v>
      </c>
      <c r="I56" s="80">
        <f t="shared" si="5"/>
        <v>24288</v>
      </c>
      <c r="J56" s="80">
        <f t="shared" si="6"/>
        <v>4249.218031</v>
      </c>
      <c r="K56" s="80">
        <f t="shared" si="7"/>
        <v>22375.85189</v>
      </c>
      <c r="L56" s="80">
        <f t="shared" si="8"/>
        <v>-50798.19001</v>
      </c>
      <c r="M56" s="81">
        <f t="shared" si="9"/>
        <v>-17701.71205</v>
      </c>
      <c r="N56" s="6"/>
      <c r="O56" s="6"/>
      <c r="P56" s="6"/>
      <c r="Q56" s="6"/>
      <c r="R56" s="6"/>
      <c r="S56" s="6"/>
      <c r="T56" s="6"/>
      <c r="U56" s="6"/>
      <c r="V56" s="6"/>
      <c r="W56" s="6"/>
      <c r="X56" s="6"/>
      <c r="Y56" s="6"/>
      <c r="Z56" s="6"/>
    </row>
    <row r="57" ht="22.5" customHeight="1">
      <c r="A57" s="84">
        <v>18.0</v>
      </c>
      <c r="B57" s="80">
        <f t="shared" si="1"/>
        <v>51724.0419</v>
      </c>
      <c r="C57" s="80">
        <f t="shared" si="10"/>
        <v>34872.99669</v>
      </c>
      <c r="D57" s="80">
        <f t="shared" si="11"/>
        <v>16851.04521</v>
      </c>
      <c r="E57" s="81">
        <f t="shared" si="2"/>
        <v>302544.4072</v>
      </c>
      <c r="F57" s="6"/>
      <c r="G57" s="82">
        <f t="shared" si="3"/>
        <v>-73174.0419</v>
      </c>
      <c r="H57" s="83">
        <f t="shared" si="4"/>
        <v>-21450</v>
      </c>
      <c r="I57" s="80">
        <f t="shared" si="5"/>
        <v>24288</v>
      </c>
      <c r="J57" s="80">
        <f t="shared" si="6"/>
        <v>5137.477397</v>
      </c>
      <c r="K57" s="80">
        <f t="shared" si="7"/>
        <v>21976.13517</v>
      </c>
      <c r="L57" s="80">
        <f t="shared" si="8"/>
        <v>-51197.90673</v>
      </c>
      <c r="M57" s="81">
        <f t="shared" si="9"/>
        <v>-16324.91003</v>
      </c>
      <c r="N57" s="6"/>
      <c r="O57" s="6"/>
      <c r="P57" s="6"/>
      <c r="Q57" s="6"/>
      <c r="R57" s="6"/>
      <c r="S57" s="6"/>
      <c r="T57" s="6"/>
      <c r="U57" s="6"/>
      <c r="V57" s="6"/>
      <c r="W57" s="6"/>
      <c r="X57" s="6"/>
      <c r="Y57" s="6"/>
      <c r="Z57" s="6"/>
    </row>
    <row r="58" ht="22.5" customHeight="1">
      <c r="A58" s="84">
        <v>19.0</v>
      </c>
      <c r="B58" s="80">
        <f t="shared" si="1"/>
        <v>51724.0419</v>
      </c>
      <c r="C58" s="80">
        <f t="shared" si="10"/>
        <v>36744.87357</v>
      </c>
      <c r="D58" s="80">
        <f t="shared" si="11"/>
        <v>14979.16833</v>
      </c>
      <c r="E58" s="81">
        <f t="shared" si="2"/>
        <v>265799.5336</v>
      </c>
      <c r="F58" s="6"/>
      <c r="G58" s="82">
        <f t="shared" si="3"/>
        <v>-73174.0419</v>
      </c>
      <c r="H58" s="83">
        <f t="shared" si="4"/>
        <v>-21450</v>
      </c>
      <c r="I58" s="80">
        <f t="shared" si="5"/>
        <v>24288</v>
      </c>
      <c r="J58" s="80">
        <f t="shared" si="6"/>
        <v>6073.415837</v>
      </c>
      <c r="K58" s="80">
        <f t="shared" si="7"/>
        <v>21554.96287</v>
      </c>
      <c r="L58" s="80">
        <f t="shared" si="8"/>
        <v>-51619.07902</v>
      </c>
      <c r="M58" s="81">
        <f t="shared" si="9"/>
        <v>-14874.20545</v>
      </c>
      <c r="N58" s="6"/>
      <c r="O58" s="6"/>
      <c r="P58" s="6"/>
      <c r="Q58" s="6"/>
      <c r="R58" s="6"/>
      <c r="S58" s="6"/>
      <c r="T58" s="6"/>
      <c r="U58" s="6"/>
      <c r="V58" s="6"/>
      <c r="W58" s="6"/>
      <c r="X58" s="6"/>
      <c r="Y58" s="6"/>
      <c r="Z58" s="6"/>
    </row>
    <row r="59" ht="22.5" customHeight="1">
      <c r="A59" s="84">
        <v>20.0</v>
      </c>
      <c r="B59" s="80">
        <f t="shared" si="1"/>
        <v>51724.0419</v>
      </c>
      <c r="C59" s="80">
        <f t="shared" si="10"/>
        <v>38717.22713</v>
      </c>
      <c r="D59" s="80">
        <f t="shared" si="11"/>
        <v>13006.81476</v>
      </c>
      <c r="E59" s="81">
        <f t="shared" si="2"/>
        <v>227082.3065</v>
      </c>
      <c r="F59" s="6"/>
      <c r="G59" s="82">
        <f t="shared" si="3"/>
        <v>-73174.0419</v>
      </c>
      <c r="H59" s="83">
        <f t="shared" si="4"/>
        <v>-21450</v>
      </c>
      <c r="I59" s="80">
        <f t="shared" si="5"/>
        <v>24288</v>
      </c>
      <c r="J59" s="80">
        <f t="shared" si="6"/>
        <v>7059.592618</v>
      </c>
      <c r="K59" s="80">
        <f t="shared" si="7"/>
        <v>21111.18332</v>
      </c>
      <c r="L59" s="80">
        <f t="shared" si="8"/>
        <v>-52062.85858</v>
      </c>
      <c r="M59" s="81">
        <f t="shared" si="9"/>
        <v>-13345.63144</v>
      </c>
      <c r="N59" s="6"/>
      <c r="O59" s="6"/>
      <c r="P59" s="6"/>
      <c r="Q59" s="6"/>
      <c r="R59" s="6"/>
      <c r="S59" s="6"/>
      <c r="T59" s="6"/>
      <c r="U59" s="6"/>
      <c r="V59" s="6"/>
      <c r="W59" s="6"/>
      <c r="X59" s="6"/>
      <c r="Y59" s="6"/>
      <c r="Z59" s="6"/>
    </row>
    <row r="60" ht="22.5" customHeight="1">
      <c r="A60" s="84">
        <v>21.0</v>
      </c>
      <c r="B60" s="80">
        <f t="shared" si="1"/>
        <v>51724.0419</v>
      </c>
      <c r="C60" s="80">
        <f t="shared" si="10"/>
        <v>40795.45066</v>
      </c>
      <c r="D60" s="80">
        <f t="shared" si="11"/>
        <v>10928.59123</v>
      </c>
      <c r="E60" s="81">
        <f t="shared" si="2"/>
        <v>186286.8558</v>
      </c>
      <c r="F60" s="6"/>
      <c r="G60" s="82">
        <f t="shared" si="3"/>
        <v>-73174.0419</v>
      </c>
      <c r="H60" s="83">
        <f t="shared" si="4"/>
        <v>-21450</v>
      </c>
      <c r="I60" s="80">
        <f t="shared" si="5"/>
        <v>24288</v>
      </c>
      <c r="J60" s="80">
        <f t="shared" si="6"/>
        <v>8098.704383</v>
      </c>
      <c r="K60" s="80">
        <f t="shared" si="7"/>
        <v>20643.58303</v>
      </c>
      <c r="L60" s="80">
        <f t="shared" si="8"/>
        <v>-52530.45887</v>
      </c>
      <c r="M60" s="81">
        <f t="shared" si="9"/>
        <v>-11735.00821</v>
      </c>
      <c r="N60" s="6"/>
      <c r="O60" s="6"/>
      <c r="P60" s="6"/>
      <c r="Q60" s="6"/>
      <c r="R60" s="6"/>
      <c r="S60" s="6"/>
      <c r="T60" s="6"/>
      <c r="U60" s="6"/>
      <c r="V60" s="6"/>
      <c r="W60" s="6"/>
      <c r="X60" s="6"/>
      <c r="Y60" s="6"/>
      <c r="Z60" s="6"/>
    </row>
    <row r="61" ht="22.5" customHeight="1">
      <c r="A61" s="84">
        <v>22.0</v>
      </c>
      <c r="B61" s="80">
        <f t="shared" si="1"/>
        <v>51724.0419</v>
      </c>
      <c r="C61" s="80">
        <f t="shared" si="10"/>
        <v>42985.22694</v>
      </c>
      <c r="D61" s="80">
        <f t="shared" si="11"/>
        <v>8738.814957</v>
      </c>
      <c r="E61" s="81">
        <f t="shared" si="2"/>
        <v>143301.6289</v>
      </c>
      <c r="F61" s="6"/>
      <c r="G61" s="82">
        <f t="shared" si="3"/>
        <v>-73174.0419</v>
      </c>
      <c r="H61" s="83">
        <f t="shared" si="4"/>
        <v>-21450</v>
      </c>
      <c r="I61" s="80">
        <f t="shared" si="5"/>
        <v>24288</v>
      </c>
      <c r="J61" s="80">
        <f t="shared" si="6"/>
        <v>9193.592522</v>
      </c>
      <c r="K61" s="80">
        <f t="shared" si="7"/>
        <v>20150.88337</v>
      </c>
      <c r="L61" s="80">
        <f t="shared" si="8"/>
        <v>-53023.15853</v>
      </c>
      <c r="M61" s="81">
        <f t="shared" si="9"/>
        <v>-10037.93159</v>
      </c>
      <c r="N61" s="6"/>
      <c r="O61" s="6"/>
      <c r="P61" s="6"/>
      <c r="Q61" s="6"/>
      <c r="R61" s="6"/>
      <c r="S61" s="6"/>
      <c r="T61" s="6"/>
      <c r="U61" s="6"/>
      <c r="V61" s="6"/>
      <c r="W61" s="6"/>
      <c r="X61" s="6"/>
      <c r="Y61" s="6"/>
      <c r="Z61" s="6"/>
    </row>
    <row r="62" ht="22.5" customHeight="1">
      <c r="A62" s="84">
        <v>23.0</v>
      </c>
      <c r="B62" s="80">
        <f t="shared" si="1"/>
        <v>51724.0419</v>
      </c>
      <c r="C62" s="80">
        <f t="shared" si="10"/>
        <v>45292.54378</v>
      </c>
      <c r="D62" s="80">
        <f t="shared" si="11"/>
        <v>6431.498119</v>
      </c>
      <c r="E62" s="81">
        <f t="shared" si="2"/>
        <v>98009.08508</v>
      </c>
      <c r="F62" s="6"/>
      <c r="G62" s="82">
        <f t="shared" si="3"/>
        <v>-73174.0419</v>
      </c>
      <c r="H62" s="83">
        <f t="shared" si="4"/>
        <v>-21450</v>
      </c>
      <c r="I62" s="80">
        <f t="shared" si="5"/>
        <v>24288</v>
      </c>
      <c r="J62" s="80">
        <f t="shared" si="6"/>
        <v>10347.25094</v>
      </c>
      <c r="K62" s="80">
        <f t="shared" si="7"/>
        <v>19631.73708</v>
      </c>
      <c r="L62" s="80">
        <f t="shared" si="8"/>
        <v>-53542.30482</v>
      </c>
      <c r="M62" s="81">
        <f t="shared" si="9"/>
        <v>-8249.761042</v>
      </c>
      <c r="N62" s="6"/>
      <c r="O62" s="6"/>
      <c r="P62" s="6"/>
      <c r="Q62" s="6"/>
      <c r="R62" s="6"/>
      <c r="S62" s="6"/>
      <c r="T62" s="6"/>
      <c r="U62" s="6"/>
      <c r="V62" s="6"/>
      <c r="W62" s="6"/>
      <c r="X62" s="6"/>
      <c r="Y62" s="6"/>
      <c r="Z62" s="6"/>
    </row>
    <row r="63" ht="22.5" customHeight="1">
      <c r="A63" s="84">
        <v>24.0</v>
      </c>
      <c r="B63" s="80">
        <f t="shared" si="1"/>
        <v>51724.0419</v>
      </c>
      <c r="C63" s="80">
        <f t="shared" si="10"/>
        <v>47723.7104</v>
      </c>
      <c r="D63" s="80">
        <f t="shared" si="11"/>
        <v>4000.331499</v>
      </c>
      <c r="E63" s="81">
        <f t="shared" si="2"/>
        <v>50285.37468</v>
      </c>
      <c r="F63" s="6"/>
      <c r="G63" s="82">
        <f t="shared" si="3"/>
        <v>-73174.0419</v>
      </c>
      <c r="H63" s="83">
        <f t="shared" si="4"/>
        <v>-21450</v>
      </c>
      <c r="I63" s="80">
        <f t="shared" si="5"/>
        <v>24288</v>
      </c>
      <c r="J63" s="80">
        <f t="shared" si="6"/>
        <v>11562.83425</v>
      </c>
      <c r="K63" s="80">
        <f t="shared" si="7"/>
        <v>19084.72459</v>
      </c>
      <c r="L63" s="80">
        <f t="shared" si="8"/>
        <v>-54089.31731</v>
      </c>
      <c r="M63" s="81">
        <f t="shared" si="9"/>
        <v>-6365.606912</v>
      </c>
      <c r="N63" s="6"/>
      <c r="O63" s="6"/>
      <c r="P63" s="6"/>
      <c r="Q63" s="6"/>
      <c r="R63" s="6"/>
      <c r="S63" s="6"/>
      <c r="T63" s="6"/>
      <c r="U63" s="6"/>
      <c r="V63" s="6"/>
      <c r="W63" s="6"/>
      <c r="X63" s="6"/>
      <c r="Y63" s="6"/>
      <c r="Z63" s="6"/>
    </row>
    <row r="64" ht="22.5" customHeight="1">
      <c r="A64" s="84">
        <v>25.0</v>
      </c>
      <c r="B64" s="80">
        <f t="shared" si="1"/>
        <v>51724.0419</v>
      </c>
      <c r="C64" s="80">
        <f t="shared" si="10"/>
        <v>50285.37468</v>
      </c>
      <c r="D64" s="80">
        <f t="shared" si="11"/>
        <v>1438.667215</v>
      </c>
      <c r="E64" s="81">
        <f t="shared" si="2"/>
        <v>-0.00000001051648724</v>
      </c>
      <c r="F64" s="6"/>
      <c r="G64" s="82">
        <f t="shared" si="3"/>
        <v>-73174.0419</v>
      </c>
      <c r="H64" s="83">
        <f t="shared" si="4"/>
        <v>-21450</v>
      </c>
      <c r="I64" s="80">
        <f t="shared" si="5"/>
        <v>24288</v>
      </c>
      <c r="J64" s="80">
        <f t="shared" si="6"/>
        <v>12843.66639</v>
      </c>
      <c r="K64" s="80">
        <f t="shared" si="7"/>
        <v>18508.35012</v>
      </c>
      <c r="L64" s="80">
        <f t="shared" si="8"/>
        <v>-54665.69177</v>
      </c>
      <c r="M64" s="81">
        <f t="shared" si="9"/>
        <v>-4380.317092</v>
      </c>
      <c r="N64" s="6"/>
      <c r="O64" s="6"/>
      <c r="P64" s="6"/>
      <c r="Q64" s="6"/>
      <c r="R64" s="6"/>
      <c r="S64" s="6"/>
      <c r="T64" s="6"/>
      <c r="U64" s="6"/>
      <c r="V64" s="6"/>
      <c r="W64" s="6"/>
      <c r="X64" s="6"/>
      <c r="Y64" s="6"/>
      <c r="Z64" s="6"/>
    </row>
    <row r="65" ht="22.5" customHeight="1">
      <c r="A65" s="85" t="s">
        <v>69</v>
      </c>
      <c r="B65" s="86">
        <f t="shared" ref="B65:D65" si="12">SUM(B40:B64)</f>
        <v>1293101.047</v>
      </c>
      <c r="C65" s="86">
        <f t="shared" si="12"/>
        <v>720000</v>
      </c>
      <c r="D65" s="86">
        <f t="shared" si="12"/>
        <v>573101.0474</v>
      </c>
      <c r="E65" s="87"/>
      <c r="F65" s="6"/>
      <c r="G65" s="85">
        <f t="shared" ref="G65:L65" si="13">SUM(G40:G64)</f>
        <v>-1829351.047</v>
      </c>
      <c r="H65" s="86">
        <f t="shared" si="13"/>
        <v>-536250</v>
      </c>
      <c r="I65" s="86">
        <f t="shared" si="13"/>
        <v>607200</v>
      </c>
      <c r="J65" s="86">
        <f t="shared" si="13"/>
        <v>52524.47628</v>
      </c>
      <c r="K65" s="86">
        <f t="shared" si="13"/>
        <v>583563.9857</v>
      </c>
      <c r="L65" s="86">
        <f t="shared" si="13"/>
        <v>-1245787.062</v>
      </c>
      <c r="M65" s="88">
        <f t="shared" si="9"/>
        <v>-525787.0618</v>
      </c>
      <c r="N65" s="6"/>
      <c r="O65" s="6"/>
      <c r="P65" s="6"/>
      <c r="Q65" s="6"/>
      <c r="R65" s="6"/>
      <c r="S65" s="6"/>
      <c r="T65" s="6"/>
      <c r="U65" s="6"/>
      <c r="V65" s="6"/>
      <c r="W65" s="6"/>
      <c r="X65" s="6"/>
      <c r="Y65" s="6"/>
      <c r="Z65" s="6"/>
    </row>
    <row r="66">
      <c r="A66" s="6"/>
      <c r="B66" s="89"/>
      <c r="C66" s="6"/>
      <c r="D66" s="6"/>
      <c r="E66" s="6"/>
      <c r="F66" s="6"/>
      <c r="G66" s="6"/>
      <c r="H66" s="6"/>
      <c r="I66" s="6"/>
      <c r="J66" s="6"/>
      <c r="K66" s="6"/>
      <c r="L66" s="6"/>
      <c r="M66" s="6"/>
      <c r="N66" s="6"/>
      <c r="O66" s="6"/>
      <c r="P66" s="6"/>
      <c r="Q66" s="6"/>
      <c r="R66" s="6"/>
      <c r="S66" s="6"/>
      <c r="T66" s="6"/>
      <c r="U66" s="6"/>
      <c r="V66" s="6"/>
      <c r="W66" s="6"/>
      <c r="X66" s="6"/>
      <c r="Y66" s="6"/>
      <c r="Z66" s="6"/>
    </row>
    <row r="67">
      <c r="A67" s="73" t="s">
        <v>70</v>
      </c>
      <c r="B67" s="36"/>
      <c r="C67" s="36"/>
      <c r="D67" s="36"/>
      <c r="E67" s="36"/>
      <c r="F67" s="36"/>
      <c r="G67" s="36"/>
      <c r="H67" s="6"/>
      <c r="I67" s="6"/>
      <c r="J67" s="6"/>
      <c r="K67" s="6"/>
      <c r="L67" s="6"/>
      <c r="M67" s="6"/>
      <c r="N67" s="6"/>
      <c r="O67" s="6"/>
      <c r="P67" s="6"/>
      <c r="Q67" s="6"/>
      <c r="R67" s="6"/>
      <c r="S67" s="6"/>
      <c r="T67" s="6"/>
      <c r="U67" s="6"/>
      <c r="V67" s="6"/>
      <c r="W67" s="6"/>
      <c r="X67" s="6"/>
      <c r="Y67" s="6"/>
      <c r="Z67" s="6"/>
    </row>
    <row r="68">
      <c r="A68" s="75"/>
      <c r="B68" s="75"/>
      <c r="C68" s="75"/>
      <c r="D68" s="75"/>
      <c r="E68" s="75"/>
      <c r="F68" s="75"/>
      <c r="G68" s="75"/>
      <c r="H68" s="6"/>
      <c r="I68" s="3"/>
      <c r="J68" s="3"/>
      <c r="K68" s="3"/>
      <c r="L68" s="3"/>
      <c r="M68" s="3"/>
      <c r="N68" s="6"/>
      <c r="O68" s="3"/>
      <c r="P68" s="6"/>
      <c r="Q68" s="6"/>
      <c r="R68" s="6"/>
      <c r="S68" s="6"/>
      <c r="T68" s="6"/>
      <c r="U68" s="6"/>
      <c r="V68" s="6"/>
      <c r="W68" s="6"/>
      <c r="X68" s="6"/>
      <c r="Y68" s="6"/>
      <c r="Z68" s="6"/>
    </row>
    <row r="69" ht="22.5" customHeight="1">
      <c r="A69" s="77" t="s">
        <v>71</v>
      </c>
      <c r="B69" s="77" t="s">
        <v>72</v>
      </c>
      <c r="C69" s="77" t="s">
        <v>73</v>
      </c>
      <c r="D69" s="77" t="s">
        <v>74</v>
      </c>
      <c r="E69" s="77" t="s">
        <v>75</v>
      </c>
      <c r="F69" s="77" t="s">
        <v>76</v>
      </c>
      <c r="G69" s="77" t="s">
        <v>77</v>
      </c>
      <c r="H69" s="6"/>
      <c r="I69" s="3"/>
      <c r="J69" s="3"/>
      <c r="K69" s="3"/>
      <c r="L69" s="3"/>
      <c r="M69" s="3"/>
      <c r="N69" s="6"/>
      <c r="O69" s="3"/>
      <c r="P69" s="6"/>
      <c r="Q69" s="6"/>
      <c r="R69" s="6"/>
      <c r="S69" s="6"/>
      <c r="T69" s="6"/>
      <c r="U69" s="6"/>
      <c r="V69" s="6"/>
      <c r="W69" s="6"/>
      <c r="X69" s="6"/>
      <c r="Y69" s="6"/>
      <c r="Z69" s="6"/>
    </row>
    <row r="70" ht="22.5" customHeight="1">
      <c r="A70" s="84">
        <v>1.0</v>
      </c>
      <c r="B70" s="90">
        <v>45474.0</v>
      </c>
      <c r="C70" s="80">
        <f>B32</f>
        <v>720000</v>
      </c>
      <c r="D70" s="80">
        <f>B35</f>
        <v>4310.336825</v>
      </c>
      <c r="E70" s="80">
        <f t="shared" ref="E70:E369" si="14">C70*$B$34</f>
        <v>3144</v>
      </c>
      <c r="F70" s="80">
        <f t="shared" ref="F70:F369" si="15">D70-E70</f>
        <v>1166.336825</v>
      </c>
      <c r="G70" s="81">
        <f t="shared" ref="G70:G369" si="16">C70-F70</f>
        <v>718833.6632</v>
      </c>
      <c r="H70" s="6"/>
      <c r="I70" s="91"/>
      <c r="J70" s="6"/>
      <c r="K70" s="6"/>
      <c r="L70" s="6"/>
      <c r="M70" s="6"/>
      <c r="N70" s="6"/>
      <c r="O70" s="3"/>
      <c r="P70" s="6"/>
      <c r="Q70" s="6"/>
      <c r="R70" s="6"/>
      <c r="S70" s="6"/>
      <c r="T70" s="6"/>
      <c r="U70" s="6"/>
      <c r="V70" s="6"/>
      <c r="W70" s="6"/>
      <c r="X70" s="6"/>
      <c r="Y70" s="6"/>
      <c r="Z70" s="6"/>
    </row>
    <row r="71" ht="22.5" customHeight="1">
      <c r="A71" s="84">
        <v>2.0</v>
      </c>
      <c r="B71" s="90">
        <v>45505.0</v>
      </c>
      <c r="C71" s="80">
        <f t="shared" ref="C71:C369" si="17">G70</f>
        <v>718833.6632</v>
      </c>
      <c r="D71" s="80">
        <f t="shared" ref="D71:D369" si="18">$D$70</f>
        <v>4310.336825</v>
      </c>
      <c r="E71" s="80">
        <f t="shared" si="14"/>
        <v>3138.906996</v>
      </c>
      <c r="F71" s="80">
        <f t="shared" si="15"/>
        <v>1171.429829</v>
      </c>
      <c r="G71" s="81">
        <f t="shared" si="16"/>
        <v>717662.2333</v>
      </c>
      <c r="H71" s="6"/>
      <c r="I71" s="3"/>
      <c r="J71" s="6"/>
      <c r="K71" s="6"/>
      <c r="L71" s="6"/>
      <c r="M71" s="6"/>
      <c r="N71" s="6"/>
      <c r="O71" s="3"/>
      <c r="P71" s="6"/>
      <c r="Q71" s="6"/>
      <c r="R71" s="6"/>
      <c r="S71" s="6"/>
      <c r="T71" s="6"/>
      <c r="U71" s="6"/>
      <c r="V71" s="6"/>
      <c r="W71" s="6"/>
      <c r="X71" s="6"/>
      <c r="Y71" s="6"/>
      <c r="Z71" s="6"/>
    </row>
    <row r="72" ht="22.5" customHeight="1">
      <c r="A72" s="84">
        <v>3.0</v>
      </c>
      <c r="B72" s="90">
        <v>45536.0</v>
      </c>
      <c r="C72" s="80">
        <f t="shared" si="17"/>
        <v>717662.2333</v>
      </c>
      <c r="D72" s="80">
        <f t="shared" si="18"/>
        <v>4310.336825</v>
      </c>
      <c r="E72" s="80">
        <f t="shared" si="14"/>
        <v>3133.791752</v>
      </c>
      <c r="F72" s="80">
        <f t="shared" si="15"/>
        <v>1176.545073</v>
      </c>
      <c r="G72" s="81">
        <f t="shared" si="16"/>
        <v>716485.6883</v>
      </c>
      <c r="H72" s="6"/>
      <c r="I72" s="3"/>
      <c r="J72" s="3"/>
      <c r="K72" s="3"/>
      <c r="L72" s="3"/>
      <c r="M72" s="3"/>
      <c r="N72" s="6"/>
      <c r="O72" s="3"/>
      <c r="P72" s="6"/>
      <c r="Q72" s="6"/>
      <c r="R72" s="6"/>
      <c r="S72" s="6"/>
      <c r="T72" s="6"/>
      <c r="U72" s="6"/>
      <c r="V72" s="6"/>
      <c r="W72" s="6"/>
      <c r="X72" s="6"/>
      <c r="Y72" s="6"/>
      <c r="Z72" s="6"/>
    </row>
    <row r="73" ht="22.5" customHeight="1">
      <c r="A73" s="84">
        <v>4.0</v>
      </c>
      <c r="B73" s="90">
        <v>45566.0</v>
      </c>
      <c r="C73" s="80">
        <f t="shared" si="17"/>
        <v>716485.6883</v>
      </c>
      <c r="D73" s="80">
        <f t="shared" si="18"/>
        <v>4310.336825</v>
      </c>
      <c r="E73" s="80">
        <f t="shared" si="14"/>
        <v>3128.654172</v>
      </c>
      <c r="F73" s="80">
        <f t="shared" si="15"/>
        <v>1181.682653</v>
      </c>
      <c r="G73" s="81">
        <f t="shared" si="16"/>
        <v>715304.0056</v>
      </c>
      <c r="H73" s="6"/>
      <c r="I73" s="3"/>
      <c r="J73" s="3"/>
      <c r="K73" s="3"/>
      <c r="L73" s="3"/>
      <c r="M73" s="3"/>
      <c r="N73" s="6"/>
      <c r="O73" s="3"/>
      <c r="P73" s="6"/>
      <c r="Q73" s="6"/>
      <c r="R73" s="6"/>
      <c r="S73" s="6"/>
      <c r="T73" s="6"/>
      <c r="U73" s="6"/>
      <c r="V73" s="6"/>
      <c r="W73" s="6"/>
      <c r="X73" s="6"/>
      <c r="Y73" s="6"/>
      <c r="Z73" s="6"/>
    </row>
    <row r="74" ht="22.5" customHeight="1">
      <c r="A74" s="84">
        <v>5.0</v>
      </c>
      <c r="B74" s="90">
        <v>45597.0</v>
      </c>
      <c r="C74" s="80">
        <f t="shared" si="17"/>
        <v>715304.0056</v>
      </c>
      <c r="D74" s="80">
        <f t="shared" si="18"/>
        <v>4310.336825</v>
      </c>
      <c r="E74" s="80">
        <f t="shared" si="14"/>
        <v>3123.494158</v>
      </c>
      <c r="F74" s="80">
        <f t="shared" si="15"/>
        <v>1186.842667</v>
      </c>
      <c r="G74" s="81">
        <f t="shared" si="16"/>
        <v>714117.163</v>
      </c>
      <c r="H74" s="6"/>
      <c r="I74" s="3"/>
      <c r="J74" s="3"/>
      <c r="K74" s="3"/>
      <c r="L74" s="3"/>
      <c r="M74" s="3"/>
      <c r="N74" s="6"/>
      <c r="O74" s="3"/>
      <c r="P74" s="6"/>
      <c r="Q74" s="6"/>
      <c r="R74" s="6"/>
      <c r="S74" s="6"/>
      <c r="T74" s="6"/>
      <c r="U74" s="6"/>
      <c r="V74" s="6"/>
      <c r="W74" s="6"/>
      <c r="X74" s="6"/>
      <c r="Y74" s="6"/>
      <c r="Z74" s="6"/>
    </row>
    <row r="75" ht="22.5" customHeight="1">
      <c r="A75" s="84">
        <v>6.0</v>
      </c>
      <c r="B75" s="90">
        <v>45627.0</v>
      </c>
      <c r="C75" s="80">
        <f t="shared" si="17"/>
        <v>714117.163</v>
      </c>
      <c r="D75" s="80">
        <f t="shared" si="18"/>
        <v>4310.336825</v>
      </c>
      <c r="E75" s="80">
        <f t="shared" si="14"/>
        <v>3118.311612</v>
      </c>
      <c r="F75" s="80">
        <f t="shared" si="15"/>
        <v>1192.025213</v>
      </c>
      <c r="G75" s="81">
        <f t="shared" si="16"/>
        <v>712925.1377</v>
      </c>
      <c r="H75" s="6"/>
      <c r="I75" s="3"/>
      <c r="J75" s="3"/>
      <c r="K75" s="3"/>
      <c r="L75" s="3"/>
      <c r="M75" s="3"/>
      <c r="N75" s="6"/>
      <c r="O75" s="3"/>
      <c r="P75" s="6"/>
      <c r="Q75" s="6"/>
      <c r="R75" s="6"/>
      <c r="S75" s="6"/>
      <c r="T75" s="6"/>
      <c r="U75" s="6"/>
      <c r="V75" s="6"/>
      <c r="W75" s="6"/>
      <c r="X75" s="6"/>
      <c r="Y75" s="6"/>
      <c r="Z75" s="6"/>
    </row>
    <row r="76" ht="22.5" customHeight="1">
      <c r="A76" s="84">
        <v>7.0</v>
      </c>
      <c r="B76" s="90">
        <v>45658.0</v>
      </c>
      <c r="C76" s="80">
        <f t="shared" si="17"/>
        <v>712925.1377</v>
      </c>
      <c r="D76" s="80">
        <f t="shared" si="18"/>
        <v>4310.336825</v>
      </c>
      <c r="E76" s="80">
        <f t="shared" si="14"/>
        <v>3113.106435</v>
      </c>
      <c r="F76" s="80">
        <f t="shared" si="15"/>
        <v>1197.23039</v>
      </c>
      <c r="G76" s="81">
        <f t="shared" si="16"/>
        <v>711727.9074</v>
      </c>
      <c r="H76" s="6"/>
      <c r="I76" s="3"/>
      <c r="J76" s="3"/>
      <c r="K76" s="3"/>
      <c r="L76" s="3"/>
      <c r="M76" s="3"/>
      <c r="N76" s="6"/>
      <c r="O76" s="3"/>
      <c r="P76" s="6"/>
      <c r="Q76" s="6"/>
      <c r="R76" s="6"/>
      <c r="S76" s="6"/>
      <c r="T76" s="6"/>
      <c r="U76" s="6"/>
      <c r="V76" s="6"/>
      <c r="W76" s="6"/>
      <c r="X76" s="6"/>
      <c r="Y76" s="6"/>
      <c r="Z76" s="6"/>
    </row>
    <row r="77" ht="22.5" customHeight="1">
      <c r="A77" s="84">
        <v>8.0</v>
      </c>
      <c r="B77" s="90">
        <v>45689.0</v>
      </c>
      <c r="C77" s="80">
        <f t="shared" si="17"/>
        <v>711727.9074</v>
      </c>
      <c r="D77" s="80">
        <f t="shared" si="18"/>
        <v>4310.336825</v>
      </c>
      <c r="E77" s="80">
        <f t="shared" si="14"/>
        <v>3107.878529</v>
      </c>
      <c r="F77" s="80">
        <f t="shared" si="15"/>
        <v>1202.458296</v>
      </c>
      <c r="G77" s="81">
        <f t="shared" si="16"/>
        <v>710525.4491</v>
      </c>
      <c r="H77" s="6"/>
      <c r="I77" s="3"/>
      <c r="J77" s="3"/>
      <c r="K77" s="3"/>
      <c r="L77" s="3"/>
      <c r="M77" s="3"/>
      <c r="N77" s="6"/>
      <c r="O77" s="3"/>
      <c r="P77" s="3"/>
      <c r="Q77" s="3"/>
      <c r="R77" s="6"/>
      <c r="S77" s="6"/>
      <c r="T77" s="6"/>
      <c r="U77" s="6"/>
      <c r="V77" s="6"/>
      <c r="W77" s="6"/>
      <c r="X77" s="6"/>
      <c r="Y77" s="6"/>
      <c r="Z77" s="6"/>
    </row>
    <row r="78" ht="22.5" customHeight="1">
      <c r="A78" s="84">
        <v>9.0</v>
      </c>
      <c r="B78" s="90">
        <v>45717.0</v>
      </c>
      <c r="C78" s="80">
        <f t="shared" si="17"/>
        <v>710525.4491</v>
      </c>
      <c r="D78" s="80">
        <f t="shared" si="18"/>
        <v>4310.336825</v>
      </c>
      <c r="E78" s="80">
        <f t="shared" si="14"/>
        <v>3102.627794</v>
      </c>
      <c r="F78" s="80">
        <f t="shared" si="15"/>
        <v>1207.709031</v>
      </c>
      <c r="G78" s="81">
        <f t="shared" si="16"/>
        <v>709317.74</v>
      </c>
      <c r="H78" s="6"/>
      <c r="I78" s="3"/>
      <c r="J78" s="3"/>
      <c r="K78" s="3"/>
      <c r="L78" s="3"/>
      <c r="M78" s="3"/>
      <c r="N78" s="6"/>
      <c r="O78" s="3"/>
      <c r="P78" s="6"/>
      <c r="Q78" s="6"/>
      <c r="R78" s="6"/>
      <c r="S78" s="6"/>
      <c r="T78" s="6"/>
      <c r="U78" s="6"/>
      <c r="V78" s="6"/>
      <c r="W78" s="6"/>
      <c r="X78" s="6"/>
      <c r="Y78" s="6"/>
      <c r="Z78" s="6"/>
    </row>
    <row r="79" ht="22.5" customHeight="1">
      <c r="A79" s="84">
        <v>10.0</v>
      </c>
      <c r="B79" s="90">
        <v>45748.0</v>
      </c>
      <c r="C79" s="80">
        <f t="shared" si="17"/>
        <v>709317.74</v>
      </c>
      <c r="D79" s="80">
        <f t="shared" si="18"/>
        <v>4310.336825</v>
      </c>
      <c r="E79" s="80">
        <f t="shared" si="14"/>
        <v>3097.354131</v>
      </c>
      <c r="F79" s="80">
        <f t="shared" si="15"/>
        <v>1212.982693</v>
      </c>
      <c r="G79" s="81">
        <f t="shared" si="16"/>
        <v>708104.7573</v>
      </c>
      <c r="H79" s="6"/>
      <c r="I79" s="3"/>
      <c r="J79" s="3"/>
      <c r="K79" s="3"/>
      <c r="L79" s="3"/>
      <c r="M79" s="3"/>
      <c r="N79" s="6"/>
      <c r="O79" s="3"/>
      <c r="P79" s="6"/>
      <c r="Q79" s="6"/>
      <c r="R79" s="6"/>
      <c r="S79" s="6"/>
      <c r="T79" s="6"/>
      <c r="U79" s="6"/>
      <c r="V79" s="6"/>
      <c r="W79" s="6"/>
      <c r="X79" s="6"/>
      <c r="Y79" s="6"/>
      <c r="Z79" s="6"/>
    </row>
    <row r="80" ht="22.5" customHeight="1">
      <c r="A80" s="84">
        <v>11.0</v>
      </c>
      <c r="B80" s="90">
        <v>45778.0</v>
      </c>
      <c r="C80" s="80">
        <f t="shared" si="17"/>
        <v>708104.7573</v>
      </c>
      <c r="D80" s="80">
        <f t="shared" si="18"/>
        <v>4310.336825</v>
      </c>
      <c r="E80" s="80">
        <f t="shared" si="14"/>
        <v>3092.05744</v>
      </c>
      <c r="F80" s="80">
        <f t="shared" si="15"/>
        <v>1218.279384</v>
      </c>
      <c r="G80" s="81">
        <f t="shared" si="16"/>
        <v>706886.4779</v>
      </c>
      <c r="H80" s="6"/>
      <c r="I80" s="3"/>
      <c r="J80" s="3"/>
      <c r="K80" s="3"/>
      <c r="L80" s="3"/>
      <c r="M80" s="3"/>
      <c r="N80" s="6"/>
      <c r="O80" s="3"/>
      <c r="P80" s="3"/>
      <c r="Q80" s="3"/>
      <c r="R80" s="6"/>
      <c r="S80" s="6"/>
      <c r="T80" s="6"/>
      <c r="U80" s="6"/>
      <c r="V80" s="6"/>
      <c r="W80" s="6"/>
      <c r="X80" s="6"/>
      <c r="Y80" s="6"/>
      <c r="Z80" s="6"/>
    </row>
    <row r="81" ht="22.5" customHeight="1">
      <c r="A81" s="84">
        <v>12.0</v>
      </c>
      <c r="B81" s="90">
        <v>45809.0</v>
      </c>
      <c r="C81" s="80">
        <f t="shared" si="17"/>
        <v>706886.4779</v>
      </c>
      <c r="D81" s="80">
        <f t="shared" si="18"/>
        <v>4310.336825</v>
      </c>
      <c r="E81" s="80">
        <f t="shared" si="14"/>
        <v>3086.73762</v>
      </c>
      <c r="F81" s="80">
        <f t="shared" si="15"/>
        <v>1223.599204</v>
      </c>
      <c r="G81" s="81">
        <f t="shared" si="16"/>
        <v>705662.8787</v>
      </c>
      <c r="H81" s="6"/>
      <c r="I81" s="3"/>
      <c r="J81" s="3"/>
      <c r="K81" s="3"/>
      <c r="L81" s="3"/>
      <c r="M81" s="3"/>
      <c r="N81" s="6"/>
      <c r="O81" s="3"/>
      <c r="P81" s="6"/>
      <c r="Q81" s="6"/>
      <c r="R81" s="6"/>
      <c r="S81" s="6"/>
      <c r="T81" s="6"/>
      <c r="U81" s="6"/>
      <c r="V81" s="6"/>
      <c r="W81" s="6"/>
      <c r="X81" s="6"/>
      <c r="Y81" s="6"/>
      <c r="Z81" s="6"/>
    </row>
    <row r="82" ht="22.5" customHeight="1">
      <c r="A82" s="84">
        <v>13.0</v>
      </c>
      <c r="B82" s="90">
        <v>45839.0</v>
      </c>
      <c r="C82" s="80">
        <f t="shared" si="17"/>
        <v>705662.8787</v>
      </c>
      <c r="D82" s="80">
        <f t="shared" si="18"/>
        <v>4310.336825</v>
      </c>
      <c r="E82" s="80">
        <f t="shared" si="14"/>
        <v>3081.394571</v>
      </c>
      <c r="F82" s="80">
        <f t="shared" si="15"/>
        <v>1228.942254</v>
      </c>
      <c r="G82" s="81">
        <f t="shared" si="16"/>
        <v>704433.9365</v>
      </c>
      <c r="H82" s="6"/>
      <c r="I82" s="3"/>
      <c r="J82" s="3"/>
      <c r="K82" s="3"/>
      <c r="L82" s="3"/>
      <c r="M82" s="3"/>
      <c r="N82" s="6"/>
      <c r="O82" s="3"/>
      <c r="P82" s="3"/>
      <c r="Q82" s="3"/>
      <c r="R82" s="6"/>
      <c r="S82" s="6"/>
      <c r="T82" s="6"/>
      <c r="U82" s="6"/>
      <c r="V82" s="6"/>
      <c r="W82" s="6"/>
      <c r="X82" s="6"/>
      <c r="Y82" s="6"/>
      <c r="Z82" s="6"/>
    </row>
    <row r="83" ht="22.5" customHeight="1">
      <c r="A83" s="84">
        <v>14.0</v>
      </c>
      <c r="B83" s="90">
        <v>45870.0</v>
      </c>
      <c r="C83" s="80">
        <f t="shared" si="17"/>
        <v>704433.9365</v>
      </c>
      <c r="D83" s="80">
        <f t="shared" si="18"/>
        <v>4310.336825</v>
      </c>
      <c r="E83" s="80">
        <f t="shared" si="14"/>
        <v>3076.028189</v>
      </c>
      <c r="F83" s="80">
        <f t="shared" si="15"/>
        <v>1234.308635</v>
      </c>
      <c r="G83" s="81">
        <f t="shared" si="16"/>
        <v>703199.6279</v>
      </c>
      <c r="H83" s="6"/>
      <c r="I83" s="3"/>
      <c r="J83" s="3"/>
      <c r="K83" s="3"/>
      <c r="L83" s="3"/>
      <c r="M83" s="3"/>
      <c r="N83" s="6"/>
      <c r="O83" s="6"/>
      <c r="P83" s="6"/>
      <c r="Q83" s="6"/>
      <c r="R83" s="6"/>
      <c r="S83" s="6"/>
      <c r="T83" s="6"/>
      <c r="U83" s="6"/>
      <c r="V83" s="6"/>
      <c r="W83" s="6"/>
      <c r="X83" s="6"/>
      <c r="Y83" s="6"/>
      <c r="Z83" s="6"/>
    </row>
    <row r="84" ht="22.5" customHeight="1">
      <c r="A84" s="84">
        <v>15.0</v>
      </c>
      <c r="B84" s="90">
        <v>45901.0</v>
      </c>
      <c r="C84" s="80">
        <f t="shared" si="17"/>
        <v>703199.6279</v>
      </c>
      <c r="D84" s="80">
        <f t="shared" si="18"/>
        <v>4310.336825</v>
      </c>
      <c r="E84" s="80">
        <f t="shared" si="14"/>
        <v>3070.638375</v>
      </c>
      <c r="F84" s="80">
        <f t="shared" si="15"/>
        <v>1239.69845</v>
      </c>
      <c r="G84" s="81">
        <f t="shared" si="16"/>
        <v>701959.9294</v>
      </c>
      <c r="H84" s="6"/>
      <c r="I84" s="3"/>
      <c r="J84" s="3"/>
      <c r="K84" s="3"/>
      <c r="L84" s="3"/>
      <c r="M84" s="3"/>
      <c r="N84" s="6"/>
      <c r="O84" s="6"/>
      <c r="P84" s="6"/>
      <c r="Q84" s="6"/>
      <c r="R84" s="6"/>
      <c r="S84" s="6"/>
      <c r="T84" s="6"/>
      <c r="U84" s="6"/>
      <c r="V84" s="6"/>
      <c r="W84" s="6"/>
      <c r="X84" s="6"/>
      <c r="Y84" s="6"/>
      <c r="Z84" s="6"/>
    </row>
    <row r="85" ht="22.5" customHeight="1">
      <c r="A85" s="84">
        <v>16.0</v>
      </c>
      <c r="B85" s="90">
        <v>45931.0</v>
      </c>
      <c r="C85" s="80">
        <f t="shared" si="17"/>
        <v>701959.9294</v>
      </c>
      <c r="D85" s="80">
        <f t="shared" si="18"/>
        <v>4310.336825</v>
      </c>
      <c r="E85" s="80">
        <f t="shared" si="14"/>
        <v>3065.225025</v>
      </c>
      <c r="F85" s="80">
        <f t="shared" si="15"/>
        <v>1245.1118</v>
      </c>
      <c r="G85" s="81">
        <f t="shared" si="16"/>
        <v>700714.8176</v>
      </c>
      <c r="H85" s="6"/>
      <c r="I85" s="3"/>
      <c r="J85" s="3"/>
      <c r="K85" s="3"/>
      <c r="L85" s="3"/>
      <c r="M85" s="3"/>
      <c r="N85" s="6"/>
      <c r="O85" s="6"/>
      <c r="P85" s="6"/>
      <c r="Q85" s="6"/>
      <c r="R85" s="6"/>
      <c r="S85" s="6"/>
      <c r="T85" s="6"/>
      <c r="U85" s="6"/>
      <c r="V85" s="6"/>
      <c r="W85" s="6"/>
      <c r="X85" s="6"/>
      <c r="Y85" s="6"/>
      <c r="Z85" s="6"/>
    </row>
    <row r="86" ht="22.5" customHeight="1">
      <c r="A86" s="84">
        <v>17.0</v>
      </c>
      <c r="B86" s="90">
        <v>45962.0</v>
      </c>
      <c r="C86" s="80">
        <f t="shared" si="17"/>
        <v>700714.8176</v>
      </c>
      <c r="D86" s="80">
        <f t="shared" si="18"/>
        <v>4310.336825</v>
      </c>
      <c r="E86" s="80">
        <f t="shared" si="14"/>
        <v>3059.788037</v>
      </c>
      <c r="F86" s="80">
        <f t="shared" si="15"/>
        <v>1250.548788</v>
      </c>
      <c r="G86" s="81">
        <f t="shared" si="16"/>
        <v>699464.2688</v>
      </c>
      <c r="H86" s="6"/>
      <c r="I86" s="3"/>
      <c r="J86" s="3"/>
      <c r="K86" s="3"/>
      <c r="L86" s="3"/>
      <c r="M86" s="3"/>
      <c r="N86" s="6"/>
      <c r="O86" s="6"/>
      <c r="P86" s="6"/>
      <c r="Q86" s="6"/>
      <c r="R86" s="6"/>
      <c r="S86" s="6"/>
      <c r="T86" s="6"/>
      <c r="U86" s="6"/>
      <c r="V86" s="6"/>
      <c r="W86" s="6"/>
      <c r="X86" s="6"/>
      <c r="Y86" s="6"/>
      <c r="Z86" s="6"/>
    </row>
    <row r="87" ht="22.5" customHeight="1">
      <c r="A87" s="84">
        <v>18.0</v>
      </c>
      <c r="B87" s="90">
        <v>45992.0</v>
      </c>
      <c r="C87" s="80">
        <f t="shared" si="17"/>
        <v>699464.2688</v>
      </c>
      <c r="D87" s="80">
        <f t="shared" si="18"/>
        <v>4310.336825</v>
      </c>
      <c r="E87" s="80">
        <f t="shared" si="14"/>
        <v>3054.327307</v>
      </c>
      <c r="F87" s="80">
        <f t="shared" si="15"/>
        <v>1256.009518</v>
      </c>
      <c r="G87" s="81">
        <f t="shared" si="16"/>
        <v>698208.2593</v>
      </c>
      <c r="H87" s="6"/>
      <c r="I87" s="3"/>
      <c r="J87" s="3"/>
      <c r="K87" s="3"/>
      <c r="L87" s="3"/>
      <c r="M87" s="3"/>
      <c r="N87" s="6"/>
      <c r="O87" s="6"/>
      <c r="P87" s="6"/>
      <c r="Q87" s="6"/>
      <c r="R87" s="6"/>
      <c r="S87" s="6"/>
      <c r="T87" s="6"/>
      <c r="U87" s="6"/>
      <c r="V87" s="6"/>
      <c r="W87" s="6"/>
      <c r="X87" s="6"/>
      <c r="Y87" s="6"/>
      <c r="Z87" s="6"/>
    </row>
    <row r="88" ht="22.5" customHeight="1">
      <c r="A88" s="84">
        <v>19.0</v>
      </c>
      <c r="B88" s="90">
        <v>46023.0</v>
      </c>
      <c r="C88" s="80">
        <f t="shared" si="17"/>
        <v>698208.2593</v>
      </c>
      <c r="D88" s="80">
        <f t="shared" si="18"/>
        <v>4310.336825</v>
      </c>
      <c r="E88" s="80">
        <f t="shared" si="14"/>
        <v>3048.842732</v>
      </c>
      <c r="F88" s="80">
        <f t="shared" si="15"/>
        <v>1261.494093</v>
      </c>
      <c r="G88" s="81">
        <f t="shared" si="16"/>
        <v>696946.7652</v>
      </c>
      <c r="H88" s="6"/>
      <c r="I88" s="3"/>
      <c r="J88" s="3"/>
      <c r="K88" s="3"/>
      <c r="L88" s="3"/>
      <c r="M88" s="3"/>
      <c r="N88" s="6"/>
      <c r="O88" s="6"/>
      <c r="P88" s="6"/>
      <c r="Q88" s="6"/>
      <c r="R88" s="6"/>
      <c r="S88" s="6"/>
      <c r="T88" s="6"/>
      <c r="U88" s="6"/>
      <c r="V88" s="6"/>
      <c r="W88" s="6"/>
      <c r="X88" s="6"/>
      <c r="Y88" s="6"/>
      <c r="Z88" s="6"/>
    </row>
    <row r="89" ht="22.5" customHeight="1">
      <c r="A89" s="84">
        <v>20.0</v>
      </c>
      <c r="B89" s="90">
        <v>46054.0</v>
      </c>
      <c r="C89" s="80">
        <f t="shared" si="17"/>
        <v>696946.7652</v>
      </c>
      <c r="D89" s="80">
        <f t="shared" si="18"/>
        <v>4310.336825</v>
      </c>
      <c r="E89" s="80">
        <f t="shared" si="14"/>
        <v>3043.334208</v>
      </c>
      <c r="F89" s="80">
        <f t="shared" si="15"/>
        <v>1267.002617</v>
      </c>
      <c r="G89" s="81">
        <f t="shared" si="16"/>
        <v>695679.7626</v>
      </c>
      <c r="H89" s="6"/>
      <c r="I89" s="3"/>
      <c r="J89" s="3"/>
      <c r="K89" s="3"/>
      <c r="L89" s="3"/>
      <c r="M89" s="3"/>
      <c r="N89" s="6"/>
      <c r="O89" s="6"/>
      <c r="P89" s="6"/>
      <c r="Q89" s="6"/>
      <c r="R89" s="6"/>
      <c r="S89" s="6"/>
      <c r="T89" s="6"/>
      <c r="U89" s="6"/>
      <c r="V89" s="6"/>
      <c r="W89" s="6"/>
      <c r="X89" s="6"/>
      <c r="Y89" s="6"/>
      <c r="Z89" s="6"/>
    </row>
    <row r="90" ht="22.5" customHeight="1">
      <c r="A90" s="84">
        <v>21.0</v>
      </c>
      <c r="B90" s="90">
        <v>46082.0</v>
      </c>
      <c r="C90" s="80">
        <f t="shared" si="17"/>
        <v>695679.7626</v>
      </c>
      <c r="D90" s="80">
        <f t="shared" si="18"/>
        <v>4310.336825</v>
      </c>
      <c r="E90" s="80">
        <f t="shared" si="14"/>
        <v>3037.80163</v>
      </c>
      <c r="F90" s="80">
        <f t="shared" si="15"/>
        <v>1272.535195</v>
      </c>
      <c r="G90" s="81">
        <f t="shared" si="16"/>
        <v>694407.2274</v>
      </c>
      <c r="H90" s="6"/>
      <c r="I90" s="3"/>
      <c r="J90" s="3"/>
      <c r="K90" s="3"/>
      <c r="L90" s="3"/>
      <c r="M90" s="3"/>
      <c r="N90" s="6"/>
      <c r="O90" s="6"/>
      <c r="P90" s="6"/>
      <c r="Q90" s="6"/>
      <c r="R90" s="6"/>
      <c r="S90" s="6"/>
      <c r="T90" s="6"/>
      <c r="U90" s="6"/>
      <c r="V90" s="6"/>
      <c r="W90" s="6"/>
      <c r="X90" s="6"/>
      <c r="Y90" s="6"/>
      <c r="Z90" s="6"/>
    </row>
    <row r="91" ht="22.5" customHeight="1">
      <c r="A91" s="84">
        <v>22.0</v>
      </c>
      <c r="B91" s="90">
        <v>46113.0</v>
      </c>
      <c r="C91" s="80">
        <f t="shared" si="17"/>
        <v>694407.2274</v>
      </c>
      <c r="D91" s="80">
        <f t="shared" si="18"/>
        <v>4310.336825</v>
      </c>
      <c r="E91" s="80">
        <f t="shared" si="14"/>
        <v>3032.244893</v>
      </c>
      <c r="F91" s="80">
        <f t="shared" si="15"/>
        <v>1278.091932</v>
      </c>
      <c r="G91" s="81">
        <f t="shared" si="16"/>
        <v>693129.1355</v>
      </c>
      <c r="H91" s="6"/>
      <c r="I91" s="3"/>
      <c r="J91" s="3"/>
      <c r="K91" s="3"/>
      <c r="L91" s="3"/>
      <c r="M91" s="3"/>
      <c r="N91" s="6"/>
      <c r="O91" s="6"/>
      <c r="P91" s="6"/>
      <c r="Q91" s="6"/>
      <c r="R91" s="6"/>
      <c r="S91" s="6"/>
      <c r="T91" s="6"/>
      <c r="U91" s="6"/>
      <c r="V91" s="6"/>
      <c r="W91" s="6"/>
      <c r="X91" s="6"/>
      <c r="Y91" s="6"/>
      <c r="Z91" s="6"/>
    </row>
    <row r="92" ht="22.5" customHeight="1">
      <c r="A92" s="84">
        <v>23.0</v>
      </c>
      <c r="B92" s="90">
        <v>46143.0</v>
      </c>
      <c r="C92" s="80">
        <f t="shared" si="17"/>
        <v>693129.1355</v>
      </c>
      <c r="D92" s="80">
        <f t="shared" si="18"/>
        <v>4310.336825</v>
      </c>
      <c r="E92" s="80">
        <f t="shared" si="14"/>
        <v>3026.663892</v>
      </c>
      <c r="F92" s="80">
        <f t="shared" si="15"/>
        <v>1283.672933</v>
      </c>
      <c r="G92" s="81">
        <f t="shared" si="16"/>
        <v>691845.4625</v>
      </c>
      <c r="H92" s="6"/>
      <c r="I92" s="3"/>
      <c r="J92" s="3"/>
      <c r="K92" s="3"/>
      <c r="L92" s="3"/>
      <c r="M92" s="3"/>
      <c r="N92" s="6"/>
      <c r="O92" s="6"/>
      <c r="P92" s="6"/>
      <c r="Q92" s="6"/>
      <c r="R92" s="6"/>
      <c r="S92" s="6"/>
      <c r="T92" s="6"/>
      <c r="U92" s="6"/>
      <c r="V92" s="6"/>
      <c r="W92" s="6"/>
      <c r="X92" s="6"/>
      <c r="Y92" s="6"/>
      <c r="Z92" s="6"/>
    </row>
    <row r="93" ht="22.5" customHeight="1">
      <c r="A93" s="84">
        <v>24.0</v>
      </c>
      <c r="B93" s="90">
        <v>46174.0</v>
      </c>
      <c r="C93" s="80">
        <f t="shared" si="17"/>
        <v>691845.4625</v>
      </c>
      <c r="D93" s="80">
        <f t="shared" si="18"/>
        <v>4310.336825</v>
      </c>
      <c r="E93" s="80">
        <f t="shared" si="14"/>
        <v>3021.05852</v>
      </c>
      <c r="F93" s="80">
        <f t="shared" si="15"/>
        <v>1289.278305</v>
      </c>
      <c r="G93" s="81">
        <f t="shared" si="16"/>
        <v>690556.1842</v>
      </c>
      <c r="H93" s="6"/>
      <c r="I93" s="3"/>
      <c r="J93" s="3"/>
      <c r="K93" s="3"/>
      <c r="L93" s="3"/>
      <c r="M93" s="3"/>
      <c r="N93" s="6"/>
      <c r="O93" s="6"/>
      <c r="P93" s="6"/>
      <c r="Q93" s="6"/>
      <c r="R93" s="6"/>
      <c r="S93" s="6"/>
      <c r="T93" s="6"/>
      <c r="U93" s="6"/>
      <c r="V93" s="6"/>
      <c r="W93" s="6"/>
      <c r="X93" s="6"/>
      <c r="Y93" s="6"/>
      <c r="Z93" s="6"/>
    </row>
    <row r="94" ht="22.5" customHeight="1">
      <c r="A94" s="84">
        <v>25.0</v>
      </c>
      <c r="B94" s="90">
        <v>46204.0</v>
      </c>
      <c r="C94" s="80">
        <f t="shared" si="17"/>
        <v>690556.1842</v>
      </c>
      <c r="D94" s="80">
        <f t="shared" si="18"/>
        <v>4310.336825</v>
      </c>
      <c r="E94" s="80">
        <f t="shared" si="14"/>
        <v>3015.428671</v>
      </c>
      <c r="F94" s="80">
        <f t="shared" si="15"/>
        <v>1294.908154</v>
      </c>
      <c r="G94" s="81">
        <f t="shared" si="16"/>
        <v>689261.2761</v>
      </c>
      <c r="H94" s="6"/>
      <c r="I94" s="3"/>
      <c r="J94" s="3"/>
      <c r="K94" s="3"/>
      <c r="L94" s="3"/>
      <c r="M94" s="3"/>
      <c r="N94" s="6"/>
      <c r="O94" s="6"/>
      <c r="P94" s="6"/>
      <c r="Q94" s="6"/>
      <c r="R94" s="6"/>
      <c r="S94" s="6"/>
      <c r="T94" s="6"/>
      <c r="U94" s="6"/>
      <c r="V94" s="6"/>
      <c r="W94" s="6"/>
      <c r="X94" s="6"/>
      <c r="Y94" s="6"/>
      <c r="Z94" s="6"/>
    </row>
    <row r="95" ht="22.5" customHeight="1">
      <c r="A95" s="84">
        <v>26.0</v>
      </c>
      <c r="B95" s="90">
        <v>46235.0</v>
      </c>
      <c r="C95" s="80">
        <f t="shared" si="17"/>
        <v>689261.2761</v>
      </c>
      <c r="D95" s="80">
        <f t="shared" si="18"/>
        <v>4310.336825</v>
      </c>
      <c r="E95" s="80">
        <f t="shared" si="14"/>
        <v>3009.774239</v>
      </c>
      <c r="F95" s="80">
        <f t="shared" si="15"/>
        <v>1300.562586</v>
      </c>
      <c r="G95" s="81">
        <f t="shared" si="16"/>
        <v>687960.7135</v>
      </c>
      <c r="H95" s="6"/>
      <c r="I95" s="3"/>
      <c r="J95" s="3"/>
      <c r="K95" s="3"/>
      <c r="L95" s="3"/>
      <c r="M95" s="3"/>
      <c r="N95" s="6"/>
      <c r="O95" s="6"/>
      <c r="P95" s="6"/>
      <c r="Q95" s="6"/>
      <c r="R95" s="6"/>
      <c r="S95" s="6"/>
      <c r="T95" s="6"/>
      <c r="U95" s="6"/>
      <c r="V95" s="6"/>
      <c r="W95" s="6"/>
      <c r="X95" s="6"/>
      <c r="Y95" s="6"/>
      <c r="Z95" s="6"/>
    </row>
    <row r="96" ht="22.5" customHeight="1">
      <c r="A96" s="84">
        <v>27.0</v>
      </c>
      <c r="B96" s="90">
        <v>46266.0</v>
      </c>
      <c r="C96" s="80">
        <f t="shared" si="17"/>
        <v>687960.7135</v>
      </c>
      <c r="D96" s="80">
        <f t="shared" si="18"/>
        <v>4310.336825</v>
      </c>
      <c r="E96" s="80">
        <f t="shared" si="14"/>
        <v>3004.095116</v>
      </c>
      <c r="F96" s="80">
        <f t="shared" si="15"/>
        <v>1306.241709</v>
      </c>
      <c r="G96" s="81">
        <f t="shared" si="16"/>
        <v>686654.4718</v>
      </c>
      <c r="H96" s="6"/>
      <c r="I96" s="3"/>
      <c r="J96" s="3"/>
      <c r="K96" s="3"/>
      <c r="L96" s="3"/>
      <c r="M96" s="3"/>
      <c r="N96" s="6"/>
      <c r="O96" s="6"/>
      <c r="P96" s="6"/>
      <c r="Q96" s="6"/>
      <c r="R96" s="6"/>
      <c r="S96" s="6"/>
      <c r="T96" s="6"/>
      <c r="U96" s="6"/>
      <c r="V96" s="6"/>
      <c r="W96" s="6"/>
      <c r="X96" s="6"/>
      <c r="Y96" s="6"/>
      <c r="Z96" s="6"/>
    </row>
    <row r="97" ht="22.5" customHeight="1">
      <c r="A97" s="84">
        <v>28.0</v>
      </c>
      <c r="B97" s="90">
        <v>46296.0</v>
      </c>
      <c r="C97" s="80">
        <f t="shared" si="17"/>
        <v>686654.4718</v>
      </c>
      <c r="D97" s="80">
        <f t="shared" si="18"/>
        <v>4310.336825</v>
      </c>
      <c r="E97" s="80">
        <f t="shared" si="14"/>
        <v>2998.391193</v>
      </c>
      <c r="F97" s="80">
        <f t="shared" si="15"/>
        <v>1311.945631</v>
      </c>
      <c r="G97" s="81">
        <f t="shared" si="16"/>
        <v>685342.5261</v>
      </c>
      <c r="H97" s="6"/>
      <c r="I97" s="3"/>
      <c r="J97" s="3"/>
      <c r="K97" s="3"/>
      <c r="L97" s="3"/>
      <c r="M97" s="3"/>
      <c r="N97" s="6"/>
      <c r="O97" s="6"/>
      <c r="P97" s="6"/>
      <c r="Q97" s="6"/>
      <c r="R97" s="6"/>
      <c r="S97" s="6"/>
      <c r="T97" s="6"/>
      <c r="U97" s="6"/>
      <c r="V97" s="6"/>
      <c r="W97" s="6"/>
      <c r="X97" s="6"/>
      <c r="Y97" s="6"/>
      <c r="Z97" s="6"/>
    </row>
    <row r="98" ht="22.5" customHeight="1">
      <c r="A98" s="84">
        <v>29.0</v>
      </c>
      <c r="B98" s="90">
        <v>46327.0</v>
      </c>
      <c r="C98" s="80">
        <f t="shared" si="17"/>
        <v>685342.5261</v>
      </c>
      <c r="D98" s="80">
        <f t="shared" si="18"/>
        <v>4310.336825</v>
      </c>
      <c r="E98" s="80">
        <f t="shared" si="14"/>
        <v>2992.662364</v>
      </c>
      <c r="F98" s="80">
        <f t="shared" si="15"/>
        <v>1317.674461</v>
      </c>
      <c r="G98" s="81">
        <f t="shared" si="16"/>
        <v>684024.8517</v>
      </c>
      <c r="H98" s="6"/>
      <c r="I98" s="3"/>
      <c r="J98" s="3"/>
      <c r="K98" s="3"/>
      <c r="L98" s="3"/>
      <c r="M98" s="3"/>
      <c r="N98" s="6"/>
      <c r="O98" s="6"/>
      <c r="P98" s="6"/>
      <c r="Q98" s="6"/>
      <c r="R98" s="6"/>
      <c r="S98" s="6"/>
      <c r="T98" s="6"/>
      <c r="U98" s="6"/>
      <c r="V98" s="6"/>
      <c r="W98" s="6"/>
      <c r="X98" s="6"/>
      <c r="Y98" s="6"/>
      <c r="Z98" s="6"/>
    </row>
    <row r="99" ht="22.5" customHeight="1">
      <c r="A99" s="84">
        <v>30.0</v>
      </c>
      <c r="B99" s="90">
        <v>46357.0</v>
      </c>
      <c r="C99" s="80">
        <f t="shared" si="17"/>
        <v>684024.8517</v>
      </c>
      <c r="D99" s="80">
        <f t="shared" si="18"/>
        <v>4310.336825</v>
      </c>
      <c r="E99" s="80">
        <f t="shared" si="14"/>
        <v>2986.908519</v>
      </c>
      <c r="F99" s="80">
        <f t="shared" si="15"/>
        <v>1323.428306</v>
      </c>
      <c r="G99" s="81">
        <f t="shared" si="16"/>
        <v>682701.4234</v>
      </c>
      <c r="H99" s="6"/>
      <c r="I99" s="3"/>
      <c r="J99" s="3"/>
      <c r="K99" s="3"/>
      <c r="L99" s="3"/>
      <c r="M99" s="3"/>
      <c r="N99" s="6"/>
      <c r="O99" s="6"/>
      <c r="P99" s="6"/>
      <c r="Q99" s="6"/>
      <c r="R99" s="6"/>
      <c r="S99" s="6"/>
      <c r="T99" s="6"/>
      <c r="U99" s="6"/>
      <c r="V99" s="6"/>
      <c r="W99" s="6"/>
      <c r="X99" s="6"/>
      <c r="Y99" s="6"/>
      <c r="Z99" s="6"/>
    </row>
    <row r="100" ht="22.5" customHeight="1">
      <c r="A100" s="84">
        <v>31.0</v>
      </c>
      <c r="B100" s="90">
        <v>46388.0</v>
      </c>
      <c r="C100" s="80">
        <f t="shared" si="17"/>
        <v>682701.4234</v>
      </c>
      <c r="D100" s="80">
        <f t="shared" si="18"/>
        <v>4310.336825</v>
      </c>
      <c r="E100" s="80">
        <f t="shared" si="14"/>
        <v>2981.129549</v>
      </c>
      <c r="F100" s="80">
        <f t="shared" si="15"/>
        <v>1329.207276</v>
      </c>
      <c r="G100" s="81">
        <f t="shared" si="16"/>
        <v>681372.2161</v>
      </c>
      <c r="H100" s="6"/>
      <c r="I100" s="6"/>
      <c r="J100" s="6"/>
      <c r="K100" s="6"/>
      <c r="L100" s="6"/>
      <c r="M100" s="6"/>
      <c r="N100" s="6"/>
      <c r="O100" s="6"/>
      <c r="P100" s="6"/>
      <c r="Q100" s="6"/>
      <c r="R100" s="6"/>
      <c r="S100" s="6"/>
      <c r="T100" s="6"/>
      <c r="U100" s="6"/>
      <c r="V100" s="6"/>
      <c r="W100" s="6"/>
      <c r="X100" s="6"/>
      <c r="Y100" s="6"/>
      <c r="Z100" s="6"/>
    </row>
    <row r="101" ht="22.5" customHeight="1">
      <c r="A101" s="84">
        <v>32.0</v>
      </c>
      <c r="B101" s="90">
        <v>46419.0</v>
      </c>
      <c r="C101" s="80">
        <f t="shared" si="17"/>
        <v>681372.2161</v>
      </c>
      <c r="D101" s="80">
        <f t="shared" si="18"/>
        <v>4310.336825</v>
      </c>
      <c r="E101" s="80">
        <f t="shared" si="14"/>
        <v>2975.325344</v>
      </c>
      <c r="F101" s="80">
        <f t="shared" si="15"/>
        <v>1335.011481</v>
      </c>
      <c r="G101" s="81">
        <f t="shared" si="16"/>
        <v>680037.2046</v>
      </c>
      <c r="H101" s="6"/>
      <c r="I101" s="6"/>
      <c r="J101" s="6"/>
      <c r="K101" s="6"/>
      <c r="L101" s="6"/>
      <c r="M101" s="6"/>
      <c r="N101" s="6"/>
      <c r="O101" s="6"/>
      <c r="P101" s="6"/>
      <c r="Q101" s="6"/>
      <c r="R101" s="6"/>
      <c r="S101" s="6"/>
      <c r="T101" s="6"/>
      <c r="U101" s="6"/>
      <c r="V101" s="6"/>
      <c r="W101" s="6"/>
      <c r="X101" s="6"/>
      <c r="Y101" s="6"/>
      <c r="Z101" s="6"/>
    </row>
    <row r="102" ht="22.5" customHeight="1">
      <c r="A102" s="84">
        <v>33.0</v>
      </c>
      <c r="B102" s="90">
        <v>46447.0</v>
      </c>
      <c r="C102" s="80">
        <f t="shared" si="17"/>
        <v>680037.2046</v>
      </c>
      <c r="D102" s="80">
        <f t="shared" si="18"/>
        <v>4310.336825</v>
      </c>
      <c r="E102" s="80">
        <f t="shared" si="14"/>
        <v>2969.495794</v>
      </c>
      <c r="F102" s="80">
        <f t="shared" si="15"/>
        <v>1340.841031</v>
      </c>
      <c r="G102" s="81">
        <f t="shared" si="16"/>
        <v>678696.3636</v>
      </c>
      <c r="H102" s="6"/>
      <c r="I102" s="6"/>
      <c r="J102" s="6"/>
      <c r="K102" s="6"/>
      <c r="L102" s="6"/>
      <c r="M102" s="6"/>
      <c r="N102" s="6"/>
      <c r="O102" s="6"/>
      <c r="P102" s="6"/>
      <c r="Q102" s="6"/>
      <c r="R102" s="6"/>
      <c r="S102" s="6"/>
      <c r="T102" s="6"/>
      <c r="U102" s="6"/>
      <c r="V102" s="6"/>
      <c r="W102" s="6"/>
      <c r="X102" s="6"/>
      <c r="Y102" s="6"/>
      <c r="Z102" s="6"/>
    </row>
    <row r="103" ht="22.5" customHeight="1">
      <c r="A103" s="84">
        <v>34.0</v>
      </c>
      <c r="B103" s="90">
        <v>46478.0</v>
      </c>
      <c r="C103" s="80">
        <f t="shared" si="17"/>
        <v>678696.3636</v>
      </c>
      <c r="D103" s="80">
        <f t="shared" si="18"/>
        <v>4310.336825</v>
      </c>
      <c r="E103" s="80">
        <f t="shared" si="14"/>
        <v>2963.640788</v>
      </c>
      <c r="F103" s="80">
        <f t="shared" si="15"/>
        <v>1346.696037</v>
      </c>
      <c r="G103" s="81">
        <f t="shared" si="16"/>
        <v>677349.6676</v>
      </c>
      <c r="H103" s="6"/>
      <c r="I103" s="6"/>
      <c r="J103" s="6"/>
      <c r="K103" s="6"/>
      <c r="L103" s="6"/>
      <c r="M103" s="6"/>
      <c r="N103" s="6"/>
      <c r="O103" s="6"/>
      <c r="P103" s="6"/>
      <c r="Q103" s="6"/>
      <c r="R103" s="6"/>
      <c r="S103" s="6"/>
      <c r="T103" s="6"/>
      <c r="U103" s="6"/>
      <c r="V103" s="6"/>
      <c r="W103" s="6"/>
      <c r="X103" s="6"/>
      <c r="Y103" s="6"/>
      <c r="Z103" s="6"/>
    </row>
    <row r="104" ht="22.5" customHeight="1">
      <c r="A104" s="84">
        <v>35.0</v>
      </c>
      <c r="B104" s="90">
        <v>46508.0</v>
      </c>
      <c r="C104" s="80">
        <f t="shared" si="17"/>
        <v>677349.6676</v>
      </c>
      <c r="D104" s="80">
        <f t="shared" si="18"/>
        <v>4310.336825</v>
      </c>
      <c r="E104" s="80">
        <f t="shared" si="14"/>
        <v>2957.760215</v>
      </c>
      <c r="F104" s="80">
        <f t="shared" si="15"/>
        <v>1352.57661</v>
      </c>
      <c r="G104" s="81">
        <f t="shared" si="16"/>
        <v>675997.0909</v>
      </c>
      <c r="H104" s="6"/>
      <c r="I104" s="6"/>
      <c r="J104" s="6"/>
      <c r="K104" s="6"/>
      <c r="L104" s="6"/>
      <c r="M104" s="6"/>
      <c r="N104" s="6"/>
      <c r="O104" s="6"/>
      <c r="P104" s="6"/>
      <c r="Q104" s="6"/>
      <c r="R104" s="6"/>
      <c r="S104" s="6"/>
      <c r="T104" s="6"/>
      <c r="U104" s="6"/>
      <c r="V104" s="6"/>
      <c r="W104" s="6"/>
      <c r="X104" s="6"/>
      <c r="Y104" s="6"/>
      <c r="Z104" s="6"/>
    </row>
    <row r="105" ht="22.5" customHeight="1">
      <c r="A105" s="84">
        <v>36.0</v>
      </c>
      <c r="B105" s="90">
        <v>46539.0</v>
      </c>
      <c r="C105" s="80">
        <f t="shared" si="17"/>
        <v>675997.0909</v>
      </c>
      <c r="D105" s="80">
        <f t="shared" si="18"/>
        <v>4310.336825</v>
      </c>
      <c r="E105" s="80">
        <f t="shared" si="14"/>
        <v>2951.853964</v>
      </c>
      <c r="F105" s="80">
        <f t="shared" si="15"/>
        <v>1358.482861</v>
      </c>
      <c r="G105" s="81">
        <f t="shared" si="16"/>
        <v>674638.6081</v>
      </c>
      <c r="H105" s="6"/>
      <c r="I105" s="6"/>
      <c r="J105" s="6"/>
      <c r="K105" s="6"/>
      <c r="L105" s="6"/>
      <c r="M105" s="6"/>
      <c r="N105" s="6"/>
      <c r="O105" s="6"/>
      <c r="P105" s="6"/>
      <c r="Q105" s="6"/>
      <c r="R105" s="6"/>
      <c r="S105" s="6"/>
      <c r="T105" s="6"/>
      <c r="U105" s="6"/>
      <c r="V105" s="6"/>
      <c r="W105" s="6"/>
      <c r="X105" s="6"/>
      <c r="Y105" s="6"/>
      <c r="Z105" s="6"/>
    </row>
    <row r="106" ht="22.5" customHeight="1">
      <c r="A106" s="84">
        <v>37.0</v>
      </c>
      <c r="B106" s="90">
        <v>46569.0</v>
      </c>
      <c r="C106" s="80">
        <f t="shared" si="17"/>
        <v>674638.6081</v>
      </c>
      <c r="D106" s="80">
        <f t="shared" si="18"/>
        <v>4310.336825</v>
      </c>
      <c r="E106" s="80">
        <f t="shared" si="14"/>
        <v>2945.921922</v>
      </c>
      <c r="F106" s="80">
        <f t="shared" si="15"/>
        <v>1364.414903</v>
      </c>
      <c r="G106" s="81">
        <f t="shared" si="16"/>
        <v>673274.1932</v>
      </c>
      <c r="H106" s="6"/>
      <c r="I106" s="6"/>
      <c r="J106" s="6"/>
      <c r="K106" s="6"/>
      <c r="L106" s="6"/>
      <c r="M106" s="6"/>
      <c r="N106" s="6"/>
      <c r="O106" s="6"/>
      <c r="P106" s="6"/>
      <c r="Q106" s="6"/>
      <c r="R106" s="6"/>
      <c r="S106" s="6"/>
      <c r="T106" s="6"/>
      <c r="U106" s="6"/>
      <c r="V106" s="6"/>
      <c r="W106" s="6"/>
      <c r="X106" s="6"/>
      <c r="Y106" s="6"/>
      <c r="Z106" s="6"/>
    </row>
    <row r="107" ht="22.5" customHeight="1">
      <c r="A107" s="84">
        <v>38.0</v>
      </c>
      <c r="B107" s="90">
        <v>46600.0</v>
      </c>
      <c r="C107" s="80">
        <f t="shared" si="17"/>
        <v>673274.1932</v>
      </c>
      <c r="D107" s="80">
        <f t="shared" si="18"/>
        <v>4310.336825</v>
      </c>
      <c r="E107" s="80">
        <f t="shared" si="14"/>
        <v>2939.963977</v>
      </c>
      <c r="F107" s="80">
        <f t="shared" si="15"/>
        <v>1370.372848</v>
      </c>
      <c r="G107" s="81">
        <f t="shared" si="16"/>
        <v>671903.8203</v>
      </c>
      <c r="H107" s="6"/>
      <c r="I107" s="6"/>
      <c r="J107" s="6"/>
      <c r="K107" s="6"/>
      <c r="L107" s="6"/>
      <c r="M107" s="6"/>
      <c r="N107" s="6"/>
      <c r="O107" s="6"/>
      <c r="P107" s="6"/>
      <c r="Q107" s="6"/>
      <c r="R107" s="6"/>
      <c r="S107" s="6"/>
      <c r="T107" s="6"/>
      <c r="U107" s="6"/>
      <c r="V107" s="6"/>
      <c r="W107" s="6"/>
      <c r="X107" s="6"/>
      <c r="Y107" s="6"/>
      <c r="Z107" s="6"/>
    </row>
    <row r="108" ht="22.5" customHeight="1">
      <c r="A108" s="84">
        <v>39.0</v>
      </c>
      <c r="B108" s="90">
        <v>46631.0</v>
      </c>
      <c r="C108" s="80">
        <f t="shared" si="17"/>
        <v>671903.8203</v>
      </c>
      <c r="D108" s="80">
        <f t="shared" si="18"/>
        <v>4310.336825</v>
      </c>
      <c r="E108" s="80">
        <f t="shared" si="14"/>
        <v>2933.980015</v>
      </c>
      <c r="F108" s="80">
        <f t="shared" si="15"/>
        <v>1376.356809</v>
      </c>
      <c r="G108" s="81">
        <f t="shared" si="16"/>
        <v>670527.4635</v>
      </c>
      <c r="H108" s="6"/>
      <c r="I108" s="6"/>
      <c r="J108" s="6"/>
      <c r="K108" s="6"/>
      <c r="L108" s="6"/>
      <c r="M108" s="6"/>
      <c r="N108" s="6"/>
      <c r="O108" s="6"/>
      <c r="P108" s="6"/>
      <c r="Q108" s="6"/>
      <c r="R108" s="6"/>
      <c r="S108" s="6"/>
      <c r="T108" s="6"/>
      <c r="U108" s="6"/>
      <c r="V108" s="6"/>
      <c r="W108" s="6"/>
      <c r="X108" s="6"/>
      <c r="Y108" s="6"/>
      <c r="Z108" s="6"/>
    </row>
    <row r="109" ht="22.5" customHeight="1">
      <c r="A109" s="84">
        <v>40.0</v>
      </c>
      <c r="B109" s="90">
        <v>46661.0</v>
      </c>
      <c r="C109" s="80">
        <f t="shared" si="17"/>
        <v>670527.4635</v>
      </c>
      <c r="D109" s="80">
        <f t="shared" si="18"/>
        <v>4310.336825</v>
      </c>
      <c r="E109" s="80">
        <f t="shared" si="14"/>
        <v>2927.969924</v>
      </c>
      <c r="F109" s="80">
        <f t="shared" si="15"/>
        <v>1382.366901</v>
      </c>
      <c r="G109" s="81">
        <f t="shared" si="16"/>
        <v>669145.0966</v>
      </c>
      <c r="H109" s="6"/>
      <c r="I109" s="6"/>
      <c r="J109" s="6"/>
      <c r="K109" s="6"/>
      <c r="L109" s="6"/>
      <c r="M109" s="6"/>
      <c r="N109" s="6"/>
      <c r="O109" s="6"/>
      <c r="P109" s="6"/>
      <c r="Q109" s="6"/>
      <c r="R109" s="6"/>
      <c r="S109" s="6"/>
      <c r="T109" s="6"/>
      <c r="U109" s="6"/>
      <c r="V109" s="6"/>
      <c r="W109" s="6"/>
      <c r="X109" s="6"/>
      <c r="Y109" s="6"/>
      <c r="Z109" s="6"/>
    </row>
    <row r="110" ht="22.5" customHeight="1">
      <c r="A110" s="84">
        <v>41.0</v>
      </c>
      <c r="B110" s="90">
        <v>46692.0</v>
      </c>
      <c r="C110" s="80">
        <f t="shared" si="17"/>
        <v>669145.0966</v>
      </c>
      <c r="D110" s="80">
        <f t="shared" si="18"/>
        <v>4310.336825</v>
      </c>
      <c r="E110" s="80">
        <f t="shared" si="14"/>
        <v>2921.933589</v>
      </c>
      <c r="F110" s="80">
        <f t="shared" si="15"/>
        <v>1388.403236</v>
      </c>
      <c r="G110" s="81">
        <f t="shared" si="16"/>
        <v>667756.6934</v>
      </c>
      <c r="H110" s="6"/>
      <c r="I110" s="6"/>
      <c r="J110" s="6"/>
      <c r="K110" s="6"/>
      <c r="L110" s="6"/>
      <c r="M110" s="6"/>
      <c r="N110" s="6"/>
      <c r="O110" s="6"/>
      <c r="P110" s="6"/>
      <c r="Q110" s="6"/>
      <c r="R110" s="6"/>
      <c r="S110" s="6"/>
      <c r="T110" s="6"/>
      <c r="U110" s="6"/>
      <c r="V110" s="6"/>
      <c r="W110" s="6"/>
      <c r="X110" s="6"/>
      <c r="Y110" s="6"/>
      <c r="Z110" s="6"/>
    </row>
    <row r="111" ht="22.5" customHeight="1">
      <c r="A111" s="84">
        <v>42.0</v>
      </c>
      <c r="B111" s="90">
        <v>46722.0</v>
      </c>
      <c r="C111" s="80">
        <f t="shared" si="17"/>
        <v>667756.6934</v>
      </c>
      <c r="D111" s="80">
        <f t="shared" si="18"/>
        <v>4310.336825</v>
      </c>
      <c r="E111" s="80">
        <f t="shared" si="14"/>
        <v>2915.870894</v>
      </c>
      <c r="F111" s="80">
        <f t="shared" si="15"/>
        <v>1394.46593</v>
      </c>
      <c r="G111" s="81">
        <f t="shared" si="16"/>
        <v>666362.2275</v>
      </c>
      <c r="H111" s="6"/>
      <c r="I111" s="6"/>
      <c r="J111" s="6"/>
      <c r="K111" s="6"/>
      <c r="L111" s="6"/>
      <c r="M111" s="6"/>
      <c r="N111" s="6"/>
      <c r="O111" s="6"/>
      <c r="P111" s="6"/>
      <c r="Q111" s="6"/>
      <c r="R111" s="6"/>
      <c r="S111" s="6"/>
      <c r="T111" s="6"/>
      <c r="U111" s="6"/>
      <c r="V111" s="6"/>
      <c r="W111" s="6"/>
      <c r="X111" s="6"/>
      <c r="Y111" s="6"/>
      <c r="Z111" s="6"/>
    </row>
    <row r="112" ht="22.5" customHeight="1">
      <c r="A112" s="84">
        <v>43.0</v>
      </c>
      <c r="B112" s="90">
        <v>46753.0</v>
      </c>
      <c r="C112" s="80">
        <f t="shared" si="17"/>
        <v>666362.2275</v>
      </c>
      <c r="D112" s="80">
        <f t="shared" si="18"/>
        <v>4310.336825</v>
      </c>
      <c r="E112" s="80">
        <f t="shared" si="14"/>
        <v>2909.781727</v>
      </c>
      <c r="F112" s="80">
        <f t="shared" si="15"/>
        <v>1400.555098</v>
      </c>
      <c r="G112" s="81">
        <f t="shared" si="16"/>
        <v>664961.6724</v>
      </c>
      <c r="H112" s="6"/>
      <c r="I112" s="6"/>
      <c r="J112" s="6"/>
      <c r="K112" s="6"/>
      <c r="L112" s="6"/>
      <c r="M112" s="6"/>
      <c r="N112" s="6"/>
      <c r="O112" s="6"/>
      <c r="P112" s="6"/>
      <c r="Q112" s="6"/>
      <c r="R112" s="6"/>
      <c r="S112" s="6"/>
      <c r="T112" s="6"/>
      <c r="U112" s="6"/>
      <c r="V112" s="6"/>
      <c r="W112" s="6"/>
      <c r="X112" s="6"/>
      <c r="Y112" s="6"/>
      <c r="Z112" s="6"/>
    </row>
    <row r="113" ht="22.5" customHeight="1">
      <c r="A113" s="84">
        <v>44.0</v>
      </c>
      <c r="B113" s="90">
        <v>46784.0</v>
      </c>
      <c r="C113" s="80">
        <f t="shared" si="17"/>
        <v>664961.6724</v>
      </c>
      <c r="D113" s="80">
        <f t="shared" si="18"/>
        <v>4310.336825</v>
      </c>
      <c r="E113" s="80">
        <f t="shared" si="14"/>
        <v>2903.665969</v>
      </c>
      <c r="F113" s="80">
        <f t="shared" si="15"/>
        <v>1406.670856</v>
      </c>
      <c r="G113" s="81">
        <f t="shared" si="16"/>
        <v>663555.0015</v>
      </c>
      <c r="H113" s="6"/>
      <c r="I113" s="6"/>
      <c r="J113" s="6"/>
      <c r="K113" s="6"/>
      <c r="L113" s="6"/>
      <c r="M113" s="6"/>
      <c r="N113" s="6"/>
      <c r="O113" s="6"/>
      <c r="P113" s="6"/>
      <c r="Q113" s="6"/>
      <c r="R113" s="6"/>
      <c r="S113" s="6"/>
      <c r="T113" s="6"/>
      <c r="U113" s="6"/>
      <c r="V113" s="6"/>
      <c r="W113" s="6"/>
      <c r="X113" s="6"/>
      <c r="Y113" s="6"/>
      <c r="Z113" s="6"/>
    </row>
    <row r="114" ht="22.5" customHeight="1">
      <c r="A114" s="84">
        <v>45.0</v>
      </c>
      <c r="B114" s="90">
        <v>46813.0</v>
      </c>
      <c r="C114" s="80">
        <f t="shared" si="17"/>
        <v>663555.0015</v>
      </c>
      <c r="D114" s="80">
        <f t="shared" si="18"/>
        <v>4310.336825</v>
      </c>
      <c r="E114" s="80">
        <f t="shared" si="14"/>
        <v>2897.523507</v>
      </c>
      <c r="F114" s="80">
        <f t="shared" si="15"/>
        <v>1412.813318</v>
      </c>
      <c r="G114" s="81">
        <f t="shared" si="16"/>
        <v>662142.1882</v>
      </c>
      <c r="H114" s="6"/>
      <c r="I114" s="6"/>
      <c r="J114" s="6"/>
      <c r="K114" s="6"/>
      <c r="L114" s="6"/>
      <c r="M114" s="6"/>
      <c r="N114" s="6"/>
      <c r="O114" s="6"/>
      <c r="P114" s="6"/>
      <c r="Q114" s="6"/>
      <c r="R114" s="6"/>
      <c r="S114" s="6"/>
      <c r="T114" s="6"/>
      <c r="U114" s="6"/>
      <c r="V114" s="6"/>
      <c r="W114" s="6"/>
      <c r="X114" s="6"/>
      <c r="Y114" s="6"/>
      <c r="Z114" s="6"/>
    </row>
    <row r="115" ht="22.5" customHeight="1">
      <c r="A115" s="84">
        <v>46.0</v>
      </c>
      <c r="B115" s="90">
        <v>46844.0</v>
      </c>
      <c r="C115" s="80">
        <f t="shared" si="17"/>
        <v>662142.1882</v>
      </c>
      <c r="D115" s="80">
        <f t="shared" si="18"/>
        <v>4310.336825</v>
      </c>
      <c r="E115" s="80">
        <f t="shared" si="14"/>
        <v>2891.354222</v>
      </c>
      <c r="F115" s="80">
        <f t="shared" si="15"/>
        <v>1418.982603</v>
      </c>
      <c r="G115" s="81">
        <f t="shared" si="16"/>
        <v>660723.2056</v>
      </c>
      <c r="H115" s="6"/>
      <c r="I115" s="6"/>
      <c r="J115" s="6"/>
      <c r="K115" s="6"/>
      <c r="L115" s="6"/>
      <c r="M115" s="6"/>
      <c r="N115" s="6"/>
      <c r="O115" s="6"/>
      <c r="P115" s="6"/>
      <c r="Q115" s="6"/>
      <c r="R115" s="6"/>
      <c r="S115" s="6"/>
      <c r="T115" s="6"/>
      <c r="U115" s="6"/>
      <c r="V115" s="6"/>
      <c r="W115" s="6"/>
      <c r="X115" s="6"/>
      <c r="Y115" s="6"/>
      <c r="Z115" s="6"/>
    </row>
    <row r="116" ht="22.5" customHeight="1">
      <c r="A116" s="84">
        <v>47.0</v>
      </c>
      <c r="B116" s="90">
        <v>46874.0</v>
      </c>
      <c r="C116" s="80">
        <f t="shared" si="17"/>
        <v>660723.2056</v>
      </c>
      <c r="D116" s="80">
        <f t="shared" si="18"/>
        <v>4310.336825</v>
      </c>
      <c r="E116" s="80">
        <f t="shared" si="14"/>
        <v>2885.157998</v>
      </c>
      <c r="F116" s="80">
        <f t="shared" si="15"/>
        <v>1425.178827</v>
      </c>
      <c r="G116" s="81">
        <f t="shared" si="16"/>
        <v>659298.0268</v>
      </c>
      <c r="H116" s="6"/>
      <c r="I116" s="6"/>
      <c r="J116" s="6"/>
      <c r="K116" s="6"/>
      <c r="L116" s="6"/>
      <c r="M116" s="6"/>
      <c r="N116" s="6"/>
      <c r="O116" s="6"/>
      <c r="P116" s="6"/>
      <c r="Q116" s="6"/>
      <c r="R116" s="6"/>
      <c r="S116" s="6"/>
      <c r="T116" s="6"/>
      <c r="U116" s="6"/>
      <c r="V116" s="6"/>
      <c r="W116" s="6"/>
      <c r="X116" s="6"/>
      <c r="Y116" s="6"/>
      <c r="Z116" s="6"/>
    </row>
    <row r="117" ht="22.5" customHeight="1">
      <c r="A117" s="84">
        <v>48.0</v>
      </c>
      <c r="B117" s="90">
        <v>46905.0</v>
      </c>
      <c r="C117" s="80">
        <f t="shared" si="17"/>
        <v>659298.0268</v>
      </c>
      <c r="D117" s="80">
        <f t="shared" si="18"/>
        <v>4310.336825</v>
      </c>
      <c r="E117" s="80">
        <f t="shared" si="14"/>
        <v>2878.934717</v>
      </c>
      <c r="F117" s="80">
        <f t="shared" si="15"/>
        <v>1431.402108</v>
      </c>
      <c r="G117" s="81">
        <f t="shared" si="16"/>
        <v>657866.6246</v>
      </c>
      <c r="H117" s="6"/>
      <c r="I117" s="6"/>
      <c r="J117" s="6"/>
      <c r="K117" s="6"/>
      <c r="L117" s="6"/>
      <c r="M117" s="6"/>
      <c r="N117" s="6"/>
      <c r="O117" s="6"/>
      <c r="P117" s="6"/>
      <c r="Q117" s="6"/>
      <c r="R117" s="6"/>
      <c r="S117" s="6"/>
      <c r="T117" s="6"/>
      <c r="U117" s="6"/>
      <c r="V117" s="6"/>
      <c r="W117" s="6"/>
      <c r="X117" s="6"/>
      <c r="Y117" s="6"/>
      <c r="Z117" s="6"/>
    </row>
    <row r="118" ht="22.5" customHeight="1">
      <c r="A118" s="84">
        <v>49.0</v>
      </c>
      <c r="B118" s="90">
        <v>46935.0</v>
      </c>
      <c r="C118" s="80">
        <f t="shared" si="17"/>
        <v>657866.6246</v>
      </c>
      <c r="D118" s="80">
        <f t="shared" si="18"/>
        <v>4310.336825</v>
      </c>
      <c r="E118" s="80">
        <f t="shared" si="14"/>
        <v>2872.684261</v>
      </c>
      <c r="F118" s="80">
        <f t="shared" si="15"/>
        <v>1437.652564</v>
      </c>
      <c r="G118" s="81">
        <f t="shared" si="16"/>
        <v>656428.9721</v>
      </c>
      <c r="H118" s="6"/>
      <c r="I118" s="6"/>
      <c r="J118" s="6"/>
      <c r="K118" s="6"/>
      <c r="L118" s="6"/>
      <c r="M118" s="6"/>
      <c r="N118" s="6"/>
      <c r="O118" s="6"/>
      <c r="P118" s="6"/>
      <c r="Q118" s="6"/>
      <c r="R118" s="6"/>
      <c r="S118" s="6"/>
      <c r="T118" s="6"/>
      <c r="U118" s="6"/>
      <c r="V118" s="6"/>
      <c r="W118" s="6"/>
      <c r="X118" s="6"/>
      <c r="Y118" s="6"/>
      <c r="Z118" s="6"/>
    </row>
    <row r="119" ht="22.5" customHeight="1">
      <c r="A119" s="84">
        <v>50.0</v>
      </c>
      <c r="B119" s="90">
        <v>46966.0</v>
      </c>
      <c r="C119" s="80">
        <f t="shared" si="17"/>
        <v>656428.9721</v>
      </c>
      <c r="D119" s="80">
        <f t="shared" si="18"/>
        <v>4310.336825</v>
      </c>
      <c r="E119" s="80">
        <f t="shared" si="14"/>
        <v>2866.406511</v>
      </c>
      <c r="F119" s="80">
        <f t="shared" si="15"/>
        <v>1443.930313</v>
      </c>
      <c r="G119" s="81">
        <f t="shared" si="16"/>
        <v>654985.0418</v>
      </c>
      <c r="H119" s="6"/>
      <c r="I119" s="6"/>
      <c r="J119" s="6"/>
      <c r="K119" s="6"/>
      <c r="L119" s="6"/>
      <c r="M119" s="6"/>
      <c r="N119" s="6"/>
      <c r="O119" s="6"/>
      <c r="P119" s="6"/>
      <c r="Q119" s="6"/>
      <c r="R119" s="6"/>
      <c r="S119" s="6"/>
      <c r="T119" s="6"/>
      <c r="U119" s="6"/>
      <c r="V119" s="6"/>
      <c r="W119" s="6"/>
      <c r="X119" s="6"/>
      <c r="Y119" s="6"/>
      <c r="Z119" s="6"/>
    </row>
    <row r="120" ht="22.5" customHeight="1">
      <c r="A120" s="84">
        <v>51.0</v>
      </c>
      <c r="B120" s="90">
        <v>46997.0</v>
      </c>
      <c r="C120" s="80">
        <f t="shared" si="17"/>
        <v>654985.0418</v>
      </c>
      <c r="D120" s="80">
        <f t="shared" si="18"/>
        <v>4310.336825</v>
      </c>
      <c r="E120" s="80">
        <f t="shared" si="14"/>
        <v>2860.101349</v>
      </c>
      <c r="F120" s="80">
        <f t="shared" si="15"/>
        <v>1450.235476</v>
      </c>
      <c r="G120" s="81">
        <f t="shared" si="16"/>
        <v>653534.8063</v>
      </c>
      <c r="H120" s="6"/>
      <c r="I120" s="6"/>
      <c r="J120" s="6"/>
      <c r="K120" s="6"/>
      <c r="L120" s="6"/>
      <c r="M120" s="6"/>
      <c r="N120" s="6"/>
      <c r="O120" s="6"/>
      <c r="P120" s="6"/>
      <c r="Q120" s="6"/>
      <c r="R120" s="6"/>
      <c r="S120" s="6"/>
      <c r="T120" s="6"/>
      <c r="U120" s="6"/>
      <c r="V120" s="6"/>
      <c r="W120" s="6"/>
      <c r="X120" s="6"/>
      <c r="Y120" s="6"/>
      <c r="Z120" s="6"/>
    </row>
    <row r="121" ht="22.5" customHeight="1">
      <c r="A121" s="84">
        <v>52.0</v>
      </c>
      <c r="B121" s="90">
        <v>47027.0</v>
      </c>
      <c r="C121" s="80">
        <f t="shared" si="17"/>
        <v>653534.8063</v>
      </c>
      <c r="D121" s="80">
        <f t="shared" si="18"/>
        <v>4310.336825</v>
      </c>
      <c r="E121" s="80">
        <f t="shared" si="14"/>
        <v>2853.768654</v>
      </c>
      <c r="F121" s="80">
        <f t="shared" si="15"/>
        <v>1456.568171</v>
      </c>
      <c r="G121" s="81">
        <f t="shared" si="16"/>
        <v>652078.2381</v>
      </c>
      <c r="H121" s="6"/>
      <c r="I121" s="6"/>
      <c r="J121" s="6"/>
      <c r="K121" s="6"/>
      <c r="L121" s="6"/>
      <c r="M121" s="6"/>
      <c r="N121" s="6"/>
      <c r="O121" s="6"/>
      <c r="P121" s="6"/>
      <c r="Q121" s="6"/>
      <c r="R121" s="6"/>
      <c r="S121" s="6"/>
      <c r="T121" s="6"/>
      <c r="U121" s="6"/>
      <c r="V121" s="6"/>
      <c r="W121" s="6"/>
      <c r="X121" s="6"/>
      <c r="Y121" s="6"/>
      <c r="Z121" s="6"/>
    </row>
    <row r="122" ht="22.5" customHeight="1">
      <c r="A122" s="84">
        <v>53.0</v>
      </c>
      <c r="B122" s="90">
        <v>47058.0</v>
      </c>
      <c r="C122" s="80">
        <f t="shared" si="17"/>
        <v>652078.2381</v>
      </c>
      <c r="D122" s="80">
        <f t="shared" si="18"/>
        <v>4310.336825</v>
      </c>
      <c r="E122" s="80">
        <f t="shared" si="14"/>
        <v>2847.408306</v>
      </c>
      <c r="F122" s="80">
        <f t="shared" si="15"/>
        <v>1462.928518</v>
      </c>
      <c r="G122" s="81">
        <f t="shared" si="16"/>
        <v>650615.3096</v>
      </c>
      <c r="H122" s="6"/>
      <c r="I122" s="6"/>
      <c r="J122" s="6"/>
      <c r="K122" s="6"/>
      <c r="L122" s="6"/>
      <c r="M122" s="6"/>
      <c r="N122" s="6"/>
      <c r="O122" s="6"/>
      <c r="P122" s="6"/>
      <c r="Q122" s="6"/>
      <c r="R122" s="6"/>
      <c r="S122" s="6"/>
      <c r="T122" s="6"/>
      <c r="U122" s="6"/>
      <c r="V122" s="6"/>
      <c r="W122" s="6"/>
      <c r="X122" s="6"/>
      <c r="Y122" s="6"/>
      <c r="Z122" s="6"/>
    </row>
    <row r="123" ht="22.5" customHeight="1">
      <c r="A123" s="84">
        <v>54.0</v>
      </c>
      <c r="B123" s="90">
        <v>47088.0</v>
      </c>
      <c r="C123" s="80">
        <f t="shared" si="17"/>
        <v>650615.3096</v>
      </c>
      <c r="D123" s="80">
        <f t="shared" si="18"/>
        <v>4310.336825</v>
      </c>
      <c r="E123" s="80">
        <f t="shared" si="14"/>
        <v>2841.020185</v>
      </c>
      <c r="F123" s="80">
        <f t="shared" si="15"/>
        <v>1469.31664</v>
      </c>
      <c r="G123" s="81">
        <f t="shared" si="16"/>
        <v>649145.993</v>
      </c>
      <c r="H123" s="6"/>
      <c r="I123" s="6"/>
      <c r="J123" s="6"/>
      <c r="K123" s="6"/>
      <c r="L123" s="6"/>
      <c r="M123" s="6"/>
      <c r="N123" s="6"/>
      <c r="O123" s="6"/>
      <c r="P123" s="6"/>
      <c r="Q123" s="6"/>
      <c r="R123" s="6"/>
      <c r="S123" s="6"/>
      <c r="T123" s="6"/>
      <c r="U123" s="6"/>
      <c r="V123" s="6"/>
      <c r="W123" s="6"/>
      <c r="X123" s="6"/>
      <c r="Y123" s="6"/>
      <c r="Z123" s="6"/>
    </row>
    <row r="124" ht="22.5" customHeight="1">
      <c r="A124" s="84">
        <v>55.0</v>
      </c>
      <c r="B124" s="90">
        <v>47119.0</v>
      </c>
      <c r="C124" s="80">
        <f t="shared" si="17"/>
        <v>649145.993</v>
      </c>
      <c r="D124" s="80">
        <f t="shared" si="18"/>
        <v>4310.336825</v>
      </c>
      <c r="E124" s="80">
        <f t="shared" si="14"/>
        <v>2834.604169</v>
      </c>
      <c r="F124" s="80">
        <f t="shared" si="15"/>
        <v>1475.732656</v>
      </c>
      <c r="G124" s="81">
        <f t="shared" si="16"/>
        <v>647670.2603</v>
      </c>
      <c r="H124" s="6"/>
      <c r="I124" s="6"/>
      <c r="J124" s="6"/>
      <c r="K124" s="6"/>
      <c r="L124" s="6"/>
      <c r="M124" s="6"/>
      <c r="N124" s="6"/>
      <c r="O124" s="6"/>
      <c r="P124" s="6"/>
      <c r="Q124" s="6"/>
      <c r="R124" s="6"/>
      <c r="S124" s="6"/>
      <c r="T124" s="6"/>
      <c r="U124" s="6"/>
      <c r="V124" s="6"/>
      <c r="W124" s="6"/>
      <c r="X124" s="6"/>
      <c r="Y124" s="6"/>
      <c r="Z124" s="6"/>
    </row>
    <row r="125" ht="22.5" customHeight="1">
      <c r="A125" s="84">
        <v>56.0</v>
      </c>
      <c r="B125" s="90">
        <v>47150.0</v>
      </c>
      <c r="C125" s="80">
        <f t="shared" si="17"/>
        <v>647670.2603</v>
      </c>
      <c r="D125" s="80">
        <f t="shared" si="18"/>
        <v>4310.336825</v>
      </c>
      <c r="E125" s="80">
        <f t="shared" si="14"/>
        <v>2828.160137</v>
      </c>
      <c r="F125" s="80">
        <f t="shared" si="15"/>
        <v>1482.176688</v>
      </c>
      <c r="G125" s="81">
        <f t="shared" si="16"/>
        <v>646188.0836</v>
      </c>
      <c r="H125" s="6"/>
      <c r="I125" s="6"/>
      <c r="J125" s="6"/>
      <c r="K125" s="6"/>
      <c r="L125" s="6"/>
      <c r="M125" s="6"/>
      <c r="N125" s="6"/>
      <c r="O125" s="6"/>
      <c r="P125" s="6"/>
      <c r="Q125" s="6"/>
      <c r="R125" s="6"/>
      <c r="S125" s="6"/>
      <c r="T125" s="6"/>
      <c r="U125" s="6"/>
      <c r="V125" s="6"/>
      <c r="W125" s="6"/>
      <c r="X125" s="6"/>
      <c r="Y125" s="6"/>
      <c r="Z125" s="6"/>
    </row>
    <row r="126" ht="22.5" customHeight="1">
      <c r="A126" s="84">
        <v>57.0</v>
      </c>
      <c r="B126" s="90">
        <v>47178.0</v>
      </c>
      <c r="C126" s="80">
        <f t="shared" si="17"/>
        <v>646188.0836</v>
      </c>
      <c r="D126" s="80">
        <f t="shared" si="18"/>
        <v>4310.336825</v>
      </c>
      <c r="E126" s="80">
        <f t="shared" si="14"/>
        <v>2821.687965</v>
      </c>
      <c r="F126" s="80">
        <f t="shared" si="15"/>
        <v>1488.64886</v>
      </c>
      <c r="G126" s="81">
        <f t="shared" si="16"/>
        <v>644699.4348</v>
      </c>
      <c r="H126" s="6"/>
      <c r="I126" s="6"/>
      <c r="J126" s="6"/>
      <c r="K126" s="6"/>
      <c r="L126" s="6"/>
      <c r="M126" s="6"/>
      <c r="N126" s="6"/>
      <c r="O126" s="6"/>
      <c r="P126" s="6"/>
      <c r="Q126" s="6"/>
      <c r="R126" s="6"/>
      <c r="S126" s="6"/>
      <c r="T126" s="6"/>
      <c r="U126" s="6"/>
      <c r="V126" s="6"/>
      <c r="W126" s="6"/>
      <c r="X126" s="6"/>
      <c r="Y126" s="6"/>
      <c r="Z126" s="6"/>
    </row>
    <row r="127" ht="22.5" customHeight="1">
      <c r="A127" s="84">
        <v>58.0</v>
      </c>
      <c r="B127" s="90">
        <v>47209.0</v>
      </c>
      <c r="C127" s="80">
        <f t="shared" si="17"/>
        <v>644699.4348</v>
      </c>
      <c r="D127" s="80">
        <f t="shared" si="18"/>
        <v>4310.336825</v>
      </c>
      <c r="E127" s="80">
        <f t="shared" si="14"/>
        <v>2815.187532</v>
      </c>
      <c r="F127" s="80">
        <f t="shared" si="15"/>
        <v>1495.149293</v>
      </c>
      <c r="G127" s="81">
        <f t="shared" si="16"/>
        <v>643204.2855</v>
      </c>
      <c r="H127" s="6"/>
      <c r="I127" s="6"/>
      <c r="J127" s="6"/>
      <c r="K127" s="6"/>
      <c r="L127" s="6"/>
      <c r="M127" s="6"/>
      <c r="N127" s="6"/>
      <c r="O127" s="6"/>
      <c r="P127" s="6"/>
      <c r="Q127" s="6"/>
      <c r="R127" s="6"/>
      <c r="S127" s="6"/>
      <c r="T127" s="6"/>
      <c r="U127" s="6"/>
      <c r="V127" s="6"/>
      <c r="W127" s="6"/>
      <c r="X127" s="6"/>
      <c r="Y127" s="6"/>
      <c r="Z127" s="6"/>
    </row>
    <row r="128" ht="22.5" customHeight="1">
      <c r="A128" s="84">
        <v>59.0</v>
      </c>
      <c r="B128" s="90">
        <v>47239.0</v>
      </c>
      <c r="C128" s="80">
        <f t="shared" si="17"/>
        <v>643204.2855</v>
      </c>
      <c r="D128" s="80">
        <f t="shared" si="18"/>
        <v>4310.336825</v>
      </c>
      <c r="E128" s="80">
        <f t="shared" si="14"/>
        <v>2808.658713</v>
      </c>
      <c r="F128" s="80">
        <f t="shared" si="15"/>
        <v>1501.678112</v>
      </c>
      <c r="G128" s="81">
        <f t="shared" si="16"/>
        <v>641702.6074</v>
      </c>
      <c r="H128" s="6"/>
      <c r="I128" s="6"/>
      <c r="J128" s="6"/>
      <c r="K128" s="6"/>
      <c r="L128" s="6"/>
      <c r="M128" s="6"/>
      <c r="N128" s="6"/>
      <c r="O128" s="6"/>
      <c r="P128" s="6"/>
      <c r="Q128" s="6"/>
      <c r="R128" s="6"/>
      <c r="S128" s="6"/>
      <c r="T128" s="6"/>
      <c r="U128" s="6"/>
      <c r="V128" s="6"/>
      <c r="W128" s="6"/>
      <c r="X128" s="6"/>
      <c r="Y128" s="6"/>
      <c r="Z128" s="6"/>
    </row>
    <row r="129" ht="22.5" customHeight="1">
      <c r="A129" s="84">
        <v>60.0</v>
      </c>
      <c r="B129" s="90">
        <v>47270.0</v>
      </c>
      <c r="C129" s="80">
        <f t="shared" si="17"/>
        <v>641702.6074</v>
      </c>
      <c r="D129" s="80">
        <f t="shared" si="18"/>
        <v>4310.336825</v>
      </c>
      <c r="E129" s="80">
        <f t="shared" si="14"/>
        <v>2802.101385</v>
      </c>
      <c r="F129" s="80">
        <f t="shared" si="15"/>
        <v>1508.235439</v>
      </c>
      <c r="G129" s="81">
        <f t="shared" si="16"/>
        <v>640194.3719</v>
      </c>
      <c r="H129" s="6"/>
      <c r="I129" s="6"/>
      <c r="J129" s="6"/>
      <c r="K129" s="6"/>
      <c r="L129" s="6"/>
      <c r="M129" s="6"/>
      <c r="N129" s="6"/>
      <c r="O129" s="6"/>
      <c r="P129" s="6"/>
      <c r="Q129" s="6"/>
      <c r="R129" s="6"/>
      <c r="S129" s="6"/>
      <c r="T129" s="6"/>
      <c r="U129" s="6"/>
      <c r="V129" s="6"/>
      <c r="W129" s="6"/>
      <c r="X129" s="6"/>
      <c r="Y129" s="6"/>
      <c r="Z129" s="6"/>
    </row>
    <row r="130" ht="22.5" customHeight="1">
      <c r="A130" s="84">
        <v>61.0</v>
      </c>
      <c r="B130" s="90">
        <v>47300.0</v>
      </c>
      <c r="C130" s="80">
        <f t="shared" si="17"/>
        <v>640194.3719</v>
      </c>
      <c r="D130" s="80">
        <f t="shared" si="18"/>
        <v>4310.336825</v>
      </c>
      <c r="E130" s="80">
        <f t="shared" si="14"/>
        <v>2795.515424</v>
      </c>
      <c r="F130" s="80">
        <f t="shared" si="15"/>
        <v>1514.821401</v>
      </c>
      <c r="G130" s="81">
        <f t="shared" si="16"/>
        <v>638679.5505</v>
      </c>
      <c r="H130" s="6"/>
      <c r="I130" s="6"/>
      <c r="J130" s="6"/>
      <c r="K130" s="6"/>
      <c r="L130" s="6"/>
      <c r="M130" s="6"/>
      <c r="N130" s="6"/>
      <c r="O130" s="6"/>
      <c r="P130" s="6"/>
      <c r="Q130" s="6"/>
      <c r="R130" s="6"/>
      <c r="S130" s="6"/>
      <c r="T130" s="6"/>
      <c r="U130" s="6"/>
      <c r="V130" s="6"/>
      <c r="W130" s="6"/>
      <c r="X130" s="6"/>
      <c r="Y130" s="6"/>
      <c r="Z130" s="6"/>
    </row>
    <row r="131" ht="22.5" customHeight="1">
      <c r="A131" s="84">
        <v>62.0</v>
      </c>
      <c r="B131" s="90">
        <v>47331.0</v>
      </c>
      <c r="C131" s="80">
        <f t="shared" si="17"/>
        <v>638679.5505</v>
      </c>
      <c r="D131" s="80">
        <f t="shared" si="18"/>
        <v>4310.336825</v>
      </c>
      <c r="E131" s="80">
        <f t="shared" si="14"/>
        <v>2788.900704</v>
      </c>
      <c r="F131" s="80">
        <f t="shared" si="15"/>
        <v>1521.436121</v>
      </c>
      <c r="G131" s="81">
        <f t="shared" si="16"/>
        <v>637158.1144</v>
      </c>
      <c r="H131" s="6"/>
      <c r="I131" s="6"/>
      <c r="J131" s="6"/>
      <c r="K131" s="6"/>
      <c r="L131" s="6"/>
      <c r="M131" s="6"/>
      <c r="N131" s="6"/>
      <c r="O131" s="6"/>
      <c r="P131" s="6"/>
      <c r="Q131" s="6"/>
      <c r="R131" s="6"/>
      <c r="S131" s="6"/>
      <c r="T131" s="6"/>
      <c r="U131" s="6"/>
      <c r="V131" s="6"/>
      <c r="W131" s="6"/>
      <c r="X131" s="6"/>
      <c r="Y131" s="6"/>
      <c r="Z131" s="6"/>
    </row>
    <row r="132" ht="22.5" customHeight="1">
      <c r="A132" s="84">
        <v>63.0</v>
      </c>
      <c r="B132" s="90">
        <v>47362.0</v>
      </c>
      <c r="C132" s="80">
        <f t="shared" si="17"/>
        <v>637158.1144</v>
      </c>
      <c r="D132" s="80">
        <f t="shared" si="18"/>
        <v>4310.336825</v>
      </c>
      <c r="E132" s="80">
        <f t="shared" si="14"/>
        <v>2782.2571</v>
      </c>
      <c r="F132" s="80">
        <f t="shared" si="15"/>
        <v>1528.079725</v>
      </c>
      <c r="G132" s="81">
        <f t="shared" si="16"/>
        <v>635630.0347</v>
      </c>
      <c r="H132" s="6"/>
      <c r="I132" s="6"/>
      <c r="J132" s="6"/>
      <c r="K132" s="6"/>
      <c r="L132" s="6"/>
      <c r="M132" s="6"/>
      <c r="N132" s="6"/>
      <c r="O132" s="6"/>
      <c r="P132" s="6"/>
      <c r="Q132" s="6"/>
      <c r="R132" s="6"/>
      <c r="S132" s="6"/>
      <c r="T132" s="6"/>
      <c r="U132" s="6"/>
      <c r="V132" s="6"/>
      <c r="W132" s="6"/>
      <c r="X132" s="6"/>
      <c r="Y132" s="6"/>
      <c r="Z132" s="6"/>
    </row>
    <row r="133" ht="22.5" customHeight="1">
      <c r="A133" s="84">
        <v>64.0</v>
      </c>
      <c r="B133" s="90">
        <v>47392.0</v>
      </c>
      <c r="C133" s="80">
        <f t="shared" si="17"/>
        <v>635630.0347</v>
      </c>
      <c r="D133" s="80">
        <f t="shared" si="18"/>
        <v>4310.336825</v>
      </c>
      <c r="E133" s="80">
        <f t="shared" si="14"/>
        <v>2775.584485</v>
      </c>
      <c r="F133" s="80">
        <f t="shared" si="15"/>
        <v>1534.75234</v>
      </c>
      <c r="G133" s="81">
        <f t="shared" si="16"/>
        <v>634095.2823</v>
      </c>
      <c r="H133" s="6"/>
      <c r="I133" s="6"/>
      <c r="J133" s="6"/>
      <c r="K133" s="6"/>
      <c r="L133" s="6"/>
      <c r="M133" s="6"/>
      <c r="N133" s="6"/>
      <c r="O133" s="6"/>
      <c r="P133" s="6"/>
      <c r="Q133" s="6"/>
      <c r="R133" s="6"/>
      <c r="S133" s="6"/>
      <c r="T133" s="6"/>
      <c r="U133" s="6"/>
      <c r="V133" s="6"/>
      <c r="W133" s="6"/>
      <c r="X133" s="6"/>
      <c r="Y133" s="6"/>
      <c r="Z133" s="6"/>
    </row>
    <row r="134" ht="22.5" customHeight="1">
      <c r="A134" s="84">
        <v>65.0</v>
      </c>
      <c r="B134" s="90">
        <v>47423.0</v>
      </c>
      <c r="C134" s="80">
        <f t="shared" si="17"/>
        <v>634095.2823</v>
      </c>
      <c r="D134" s="80">
        <f t="shared" si="18"/>
        <v>4310.336825</v>
      </c>
      <c r="E134" s="80">
        <f t="shared" si="14"/>
        <v>2768.882733</v>
      </c>
      <c r="F134" s="80">
        <f t="shared" si="15"/>
        <v>1541.454092</v>
      </c>
      <c r="G134" s="81">
        <f t="shared" si="16"/>
        <v>632553.8282</v>
      </c>
      <c r="H134" s="6"/>
      <c r="I134" s="6"/>
      <c r="J134" s="6"/>
      <c r="K134" s="6"/>
      <c r="L134" s="6"/>
      <c r="M134" s="6"/>
      <c r="N134" s="6"/>
      <c r="O134" s="6"/>
      <c r="P134" s="6"/>
      <c r="Q134" s="6"/>
      <c r="R134" s="6"/>
      <c r="S134" s="6"/>
      <c r="T134" s="6"/>
      <c r="U134" s="6"/>
      <c r="V134" s="6"/>
      <c r="W134" s="6"/>
      <c r="X134" s="6"/>
      <c r="Y134" s="6"/>
      <c r="Z134" s="6"/>
    </row>
    <row r="135" ht="22.5" customHeight="1">
      <c r="A135" s="84">
        <v>66.0</v>
      </c>
      <c r="B135" s="90">
        <v>47453.0</v>
      </c>
      <c r="C135" s="80">
        <f t="shared" si="17"/>
        <v>632553.8282</v>
      </c>
      <c r="D135" s="80">
        <f t="shared" si="18"/>
        <v>4310.336825</v>
      </c>
      <c r="E135" s="80">
        <f t="shared" si="14"/>
        <v>2762.151717</v>
      </c>
      <c r="F135" s="80">
        <f t="shared" si="15"/>
        <v>1548.185108</v>
      </c>
      <c r="G135" s="81">
        <f t="shared" si="16"/>
        <v>631005.6431</v>
      </c>
      <c r="H135" s="6"/>
      <c r="I135" s="6"/>
      <c r="J135" s="6"/>
      <c r="K135" s="6"/>
      <c r="L135" s="6"/>
      <c r="M135" s="6"/>
      <c r="N135" s="6"/>
      <c r="O135" s="6"/>
      <c r="P135" s="6"/>
      <c r="Q135" s="6"/>
      <c r="R135" s="6"/>
      <c r="S135" s="6"/>
      <c r="T135" s="6"/>
      <c r="U135" s="6"/>
      <c r="V135" s="6"/>
      <c r="W135" s="6"/>
      <c r="X135" s="6"/>
      <c r="Y135" s="6"/>
      <c r="Z135" s="6"/>
    </row>
    <row r="136" ht="22.5" customHeight="1">
      <c r="A136" s="84">
        <v>67.0</v>
      </c>
      <c r="B136" s="90">
        <v>47484.0</v>
      </c>
      <c r="C136" s="80">
        <f t="shared" si="17"/>
        <v>631005.6431</v>
      </c>
      <c r="D136" s="80">
        <f t="shared" si="18"/>
        <v>4310.336825</v>
      </c>
      <c r="E136" s="80">
        <f t="shared" si="14"/>
        <v>2755.391308</v>
      </c>
      <c r="F136" s="80">
        <f t="shared" si="15"/>
        <v>1554.945516</v>
      </c>
      <c r="G136" s="81">
        <f t="shared" si="16"/>
        <v>629450.6976</v>
      </c>
      <c r="H136" s="6"/>
      <c r="I136" s="6"/>
      <c r="J136" s="6"/>
      <c r="K136" s="6"/>
      <c r="L136" s="6"/>
      <c r="M136" s="6"/>
      <c r="N136" s="6"/>
      <c r="O136" s="6"/>
      <c r="P136" s="6"/>
      <c r="Q136" s="6"/>
      <c r="R136" s="6"/>
      <c r="S136" s="6"/>
      <c r="T136" s="6"/>
      <c r="U136" s="6"/>
      <c r="V136" s="6"/>
      <c r="W136" s="6"/>
      <c r="X136" s="6"/>
      <c r="Y136" s="6"/>
      <c r="Z136" s="6"/>
    </row>
    <row r="137" ht="22.5" customHeight="1">
      <c r="A137" s="84">
        <v>68.0</v>
      </c>
      <c r="B137" s="90">
        <v>47515.0</v>
      </c>
      <c r="C137" s="80">
        <f t="shared" si="17"/>
        <v>629450.6976</v>
      </c>
      <c r="D137" s="80">
        <f t="shared" si="18"/>
        <v>4310.336825</v>
      </c>
      <c r="E137" s="80">
        <f t="shared" si="14"/>
        <v>2748.60138</v>
      </c>
      <c r="F137" s="80">
        <f t="shared" si="15"/>
        <v>1561.735445</v>
      </c>
      <c r="G137" s="81">
        <f t="shared" si="16"/>
        <v>627888.9622</v>
      </c>
      <c r="H137" s="6"/>
      <c r="I137" s="6"/>
      <c r="J137" s="6"/>
      <c r="K137" s="6"/>
      <c r="L137" s="6"/>
      <c r="M137" s="6"/>
      <c r="N137" s="6"/>
      <c r="O137" s="6"/>
      <c r="P137" s="6"/>
      <c r="Q137" s="6"/>
      <c r="R137" s="6"/>
      <c r="S137" s="6"/>
      <c r="T137" s="6"/>
      <c r="U137" s="6"/>
      <c r="V137" s="6"/>
      <c r="W137" s="6"/>
      <c r="X137" s="6"/>
      <c r="Y137" s="6"/>
      <c r="Z137" s="6"/>
    </row>
    <row r="138" ht="22.5" customHeight="1">
      <c r="A138" s="84">
        <v>69.0</v>
      </c>
      <c r="B138" s="90">
        <v>47543.0</v>
      </c>
      <c r="C138" s="80">
        <f t="shared" si="17"/>
        <v>627888.9622</v>
      </c>
      <c r="D138" s="80">
        <f t="shared" si="18"/>
        <v>4310.336825</v>
      </c>
      <c r="E138" s="80">
        <f t="shared" si="14"/>
        <v>2741.781801</v>
      </c>
      <c r="F138" s="80">
        <f t="shared" si="15"/>
        <v>1568.555023</v>
      </c>
      <c r="G138" s="81">
        <f t="shared" si="16"/>
        <v>626320.4071</v>
      </c>
      <c r="H138" s="6"/>
      <c r="I138" s="6"/>
      <c r="J138" s="6"/>
      <c r="K138" s="6"/>
      <c r="L138" s="6"/>
      <c r="M138" s="6"/>
      <c r="N138" s="6"/>
      <c r="O138" s="6"/>
      <c r="P138" s="6"/>
      <c r="Q138" s="6"/>
      <c r="R138" s="6"/>
      <c r="S138" s="6"/>
      <c r="T138" s="6"/>
      <c r="U138" s="6"/>
      <c r="V138" s="6"/>
      <c r="W138" s="6"/>
      <c r="X138" s="6"/>
      <c r="Y138" s="6"/>
      <c r="Z138" s="6"/>
    </row>
    <row r="139" ht="22.5" customHeight="1">
      <c r="A139" s="84">
        <v>70.0</v>
      </c>
      <c r="B139" s="90">
        <v>47574.0</v>
      </c>
      <c r="C139" s="80">
        <f t="shared" si="17"/>
        <v>626320.4071</v>
      </c>
      <c r="D139" s="80">
        <f t="shared" si="18"/>
        <v>4310.336825</v>
      </c>
      <c r="E139" s="80">
        <f t="shared" si="14"/>
        <v>2734.932445</v>
      </c>
      <c r="F139" s="80">
        <f t="shared" si="15"/>
        <v>1575.40438</v>
      </c>
      <c r="G139" s="81">
        <f t="shared" si="16"/>
        <v>624745.0028</v>
      </c>
      <c r="H139" s="6"/>
      <c r="I139" s="6"/>
      <c r="J139" s="6"/>
      <c r="K139" s="6"/>
      <c r="L139" s="6"/>
      <c r="M139" s="6"/>
      <c r="N139" s="6"/>
      <c r="O139" s="6"/>
      <c r="P139" s="6"/>
      <c r="Q139" s="6"/>
      <c r="R139" s="6"/>
      <c r="S139" s="6"/>
      <c r="T139" s="6"/>
      <c r="U139" s="6"/>
      <c r="V139" s="6"/>
      <c r="W139" s="6"/>
      <c r="X139" s="6"/>
      <c r="Y139" s="6"/>
      <c r="Z139" s="6"/>
    </row>
    <row r="140" ht="22.5" customHeight="1">
      <c r="A140" s="84">
        <v>71.0</v>
      </c>
      <c r="B140" s="90">
        <v>47604.0</v>
      </c>
      <c r="C140" s="80">
        <f t="shared" si="17"/>
        <v>624745.0028</v>
      </c>
      <c r="D140" s="80">
        <f t="shared" si="18"/>
        <v>4310.336825</v>
      </c>
      <c r="E140" s="80">
        <f t="shared" si="14"/>
        <v>2728.053179</v>
      </c>
      <c r="F140" s="80">
        <f t="shared" si="15"/>
        <v>1582.283646</v>
      </c>
      <c r="G140" s="81">
        <f t="shared" si="16"/>
        <v>623162.7191</v>
      </c>
      <c r="H140" s="6"/>
      <c r="I140" s="6"/>
      <c r="J140" s="6"/>
      <c r="K140" s="6"/>
      <c r="L140" s="6"/>
      <c r="M140" s="6"/>
      <c r="N140" s="6"/>
      <c r="O140" s="6"/>
      <c r="P140" s="6"/>
      <c r="Q140" s="6"/>
      <c r="R140" s="6"/>
      <c r="S140" s="6"/>
      <c r="T140" s="6"/>
      <c r="U140" s="6"/>
      <c r="V140" s="6"/>
      <c r="W140" s="6"/>
      <c r="X140" s="6"/>
      <c r="Y140" s="6"/>
      <c r="Z140" s="6"/>
    </row>
    <row r="141" ht="22.5" customHeight="1">
      <c r="A141" s="84">
        <v>72.0</v>
      </c>
      <c r="B141" s="90">
        <v>47635.0</v>
      </c>
      <c r="C141" s="80">
        <f t="shared" si="17"/>
        <v>623162.7191</v>
      </c>
      <c r="D141" s="80">
        <f t="shared" si="18"/>
        <v>4310.336825</v>
      </c>
      <c r="E141" s="80">
        <f t="shared" si="14"/>
        <v>2721.143873</v>
      </c>
      <c r="F141" s="80">
        <f t="shared" si="15"/>
        <v>1589.192951</v>
      </c>
      <c r="G141" s="81">
        <f t="shared" si="16"/>
        <v>621573.5262</v>
      </c>
      <c r="H141" s="6"/>
      <c r="I141" s="6"/>
      <c r="J141" s="6"/>
      <c r="K141" s="6"/>
      <c r="L141" s="6"/>
      <c r="M141" s="6"/>
      <c r="N141" s="6"/>
      <c r="O141" s="6"/>
      <c r="P141" s="6"/>
      <c r="Q141" s="6"/>
      <c r="R141" s="6"/>
      <c r="S141" s="6"/>
      <c r="T141" s="6"/>
      <c r="U141" s="6"/>
      <c r="V141" s="6"/>
      <c r="W141" s="6"/>
      <c r="X141" s="6"/>
      <c r="Y141" s="6"/>
      <c r="Z141" s="6"/>
    </row>
    <row r="142" ht="22.5" customHeight="1">
      <c r="A142" s="84">
        <v>73.0</v>
      </c>
      <c r="B142" s="90">
        <v>47665.0</v>
      </c>
      <c r="C142" s="80">
        <f t="shared" si="17"/>
        <v>621573.5262</v>
      </c>
      <c r="D142" s="80">
        <f t="shared" si="18"/>
        <v>4310.336825</v>
      </c>
      <c r="E142" s="80">
        <f t="shared" si="14"/>
        <v>2714.204398</v>
      </c>
      <c r="F142" s="80">
        <f t="shared" si="15"/>
        <v>1596.132427</v>
      </c>
      <c r="G142" s="81">
        <f t="shared" si="16"/>
        <v>619977.3937</v>
      </c>
      <c r="H142" s="6"/>
      <c r="I142" s="6"/>
      <c r="J142" s="6"/>
      <c r="K142" s="6"/>
      <c r="L142" s="6"/>
      <c r="M142" s="6"/>
      <c r="N142" s="6"/>
      <c r="O142" s="6"/>
      <c r="P142" s="6"/>
      <c r="Q142" s="6"/>
      <c r="R142" s="6"/>
      <c r="S142" s="6"/>
      <c r="T142" s="6"/>
      <c r="U142" s="6"/>
      <c r="V142" s="6"/>
      <c r="W142" s="6"/>
      <c r="X142" s="6"/>
      <c r="Y142" s="6"/>
      <c r="Z142" s="6"/>
    </row>
    <row r="143" ht="22.5" customHeight="1">
      <c r="A143" s="84">
        <v>74.0</v>
      </c>
      <c r="B143" s="90">
        <v>47696.0</v>
      </c>
      <c r="C143" s="80">
        <f t="shared" si="17"/>
        <v>619977.3937</v>
      </c>
      <c r="D143" s="80">
        <f t="shared" si="18"/>
        <v>4310.336825</v>
      </c>
      <c r="E143" s="80">
        <f t="shared" si="14"/>
        <v>2707.234619</v>
      </c>
      <c r="F143" s="80">
        <f t="shared" si="15"/>
        <v>1603.102205</v>
      </c>
      <c r="G143" s="81">
        <f t="shared" si="16"/>
        <v>618374.2915</v>
      </c>
      <c r="H143" s="6"/>
      <c r="I143" s="6"/>
      <c r="J143" s="6"/>
      <c r="K143" s="6"/>
      <c r="L143" s="6"/>
      <c r="M143" s="6"/>
      <c r="N143" s="6"/>
      <c r="O143" s="6"/>
      <c r="P143" s="6"/>
      <c r="Q143" s="6"/>
      <c r="R143" s="6"/>
      <c r="S143" s="6"/>
      <c r="T143" s="6"/>
      <c r="U143" s="6"/>
      <c r="V143" s="6"/>
      <c r="W143" s="6"/>
      <c r="X143" s="6"/>
      <c r="Y143" s="6"/>
      <c r="Z143" s="6"/>
    </row>
    <row r="144" ht="22.5" customHeight="1">
      <c r="A144" s="84">
        <v>75.0</v>
      </c>
      <c r="B144" s="90">
        <v>47727.0</v>
      </c>
      <c r="C144" s="80">
        <f t="shared" si="17"/>
        <v>618374.2915</v>
      </c>
      <c r="D144" s="80">
        <f t="shared" si="18"/>
        <v>4310.336825</v>
      </c>
      <c r="E144" s="80">
        <f t="shared" si="14"/>
        <v>2700.234406</v>
      </c>
      <c r="F144" s="80">
        <f t="shared" si="15"/>
        <v>1610.102418</v>
      </c>
      <c r="G144" s="81">
        <f t="shared" si="16"/>
        <v>616764.1891</v>
      </c>
      <c r="H144" s="6"/>
      <c r="I144" s="6"/>
      <c r="J144" s="6"/>
      <c r="K144" s="6"/>
      <c r="L144" s="6"/>
      <c r="M144" s="6"/>
      <c r="N144" s="6"/>
      <c r="O144" s="6"/>
      <c r="P144" s="6"/>
      <c r="Q144" s="6"/>
      <c r="R144" s="6"/>
      <c r="S144" s="6"/>
      <c r="T144" s="6"/>
      <c r="U144" s="6"/>
      <c r="V144" s="6"/>
      <c r="W144" s="6"/>
      <c r="X144" s="6"/>
      <c r="Y144" s="6"/>
      <c r="Z144" s="6"/>
    </row>
    <row r="145" ht="22.5" customHeight="1">
      <c r="A145" s="84">
        <v>76.0</v>
      </c>
      <c r="B145" s="90">
        <v>47757.0</v>
      </c>
      <c r="C145" s="80">
        <f t="shared" si="17"/>
        <v>616764.1891</v>
      </c>
      <c r="D145" s="80">
        <f t="shared" si="18"/>
        <v>4310.336825</v>
      </c>
      <c r="E145" s="80">
        <f t="shared" si="14"/>
        <v>2693.203626</v>
      </c>
      <c r="F145" s="80">
        <f t="shared" si="15"/>
        <v>1617.133199</v>
      </c>
      <c r="G145" s="81">
        <f t="shared" si="16"/>
        <v>615147.0559</v>
      </c>
      <c r="H145" s="6"/>
      <c r="I145" s="6"/>
      <c r="J145" s="6"/>
      <c r="K145" s="6"/>
      <c r="L145" s="6"/>
      <c r="M145" s="6"/>
      <c r="N145" s="6"/>
      <c r="O145" s="6"/>
      <c r="P145" s="6"/>
      <c r="Q145" s="6"/>
      <c r="R145" s="6"/>
      <c r="S145" s="6"/>
      <c r="T145" s="6"/>
      <c r="U145" s="6"/>
      <c r="V145" s="6"/>
      <c r="W145" s="6"/>
      <c r="X145" s="6"/>
      <c r="Y145" s="6"/>
      <c r="Z145" s="6"/>
    </row>
    <row r="146" ht="22.5" customHeight="1">
      <c r="A146" s="84">
        <v>77.0</v>
      </c>
      <c r="B146" s="90">
        <v>47788.0</v>
      </c>
      <c r="C146" s="80">
        <f t="shared" si="17"/>
        <v>615147.0559</v>
      </c>
      <c r="D146" s="80">
        <f t="shared" si="18"/>
        <v>4310.336825</v>
      </c>
      <c r="E146" s="80">
        <f t="shared" si="14"/>
        <v>2686.142144</v>
      </c>
      <c r="F146" s="80">
        <f t="shared" si="15"/>
        <v>1624.194681</v>
      </c>
      <c r="G146" s="81">
        <f t="shared" si="16"/>
        <v>613522.8612</v>
      </c>
      <c r="H146" s="6"/>
      <c r="I146" s="6"/>
      <c r="J146" s="6"/>
      <c r="K146" s="6"/>
      <c r="L146" s="6"/>
      <c r="M146" s="6"/>
      <c r="N146" s="6"/>
      <c r="O146" s="6"/>
      <c r="P146" s="6"/>
      <c r="Q146" s="6"/>
      <c r="R146" s="6"/>
      <c r="S146" s="6"/>
      <c r="T146" s="6"/>
      <c r="U146" s="6"/>
      <c r="V146" s="6"/>
      <c r="W146" s="6"/>
      <c r="X146" s="6"/>
      <c r="Y146" s="6"/>
      <c r="Z146" s="6"/>
    </row>
    <row r="147" ht="22.5" customHeight="1">
      <c r="A147" s="84">
        <v>78.0</v>
      </c>
      <c r="B147" s="90">
        <v>47818.0</v>
      </c>
      <c r="C147" s="80">
        <f t="shared" si="17"/>
        <v>613522.8612</v>
      </c>
      <c r="D147" s="80">
        <f t="shared" si="18"/>
        <v>4310.336825</v>
      </c>
      <c r="E147" s="80">
        <f t="shared" si="14"/>
        <v>2679.049827</v>
      </c>
      <c r="F147" s="80">
        <f t="shared" si="15"/>
        <v>1631.286997</v>
      </c>
      <c r="G147" s="81">
        <f t="shared" si="16"/>
        <v>611891.5742</v>
      </c>
      <c r="H147" s="6"/>
      <c r="I147" s="6"/>
      <c r="J147" s="6"/>
      <c r="K147" s="6"/>
      <c r="L147" s="6"/>
      <c r="M147" s="6"/>
      <c r="N147" s="6"/>
      <c r="O147" s="6"/>
      <c r="P147" s="6"/>
      <c r="Q147" s="6"/>
      <c r="R147" s="6"/>
      <c r="S147" s="6"/>
      <c r="T147" s="6"/>
      <c r="U147" s="6"/>
      <c r="V147" s="6"/>
      <c r="W147" s="6"/>
      <c r="X147" s="6"/>
      <c r="Y147" s="6"/>
      <c r="Z147" s="6"/>
    </row>
    <row r="148" ht="22.5" customHeight="1">
      <c r="A148" s="84">
        <v>79.0</v>
      </c>
      <c r="B148" s="90">
        <v>47849.0</v>
      </c>
      <c r="C148" s="80">
        <f t="shared" si="17"/>
        <v>611891.5742</v>
      </c>
      <c r="D148" s="80">
        <f t="shared" si="18"/>
        <v>4310.336825</v>
      </c>
      <c r="E148" s="80">
        <f t="shared" si="14"/>
        <v>2671.926541</v>
      </c>
      <c r="F148" s="80">
        <f t="shared" si="15"/>
        <v>1638.410284</v>
      </c>
      <c r="G148" s="81">
        <f t="shared" si="16"/>
        <v>610253.164</v>
      </c>
      <c r="H148" s="6"/>
      <c r="I148" s="6"/>
      <c r="J148" s="6"/>
      <c r="K148" s="6"/>
      <c r="L148" s="6"/>
      <c r="M148" s="6"/>
      <c r="N148" s="6"/>
      <c r="O148" s="6"/>
      <c r="P148" s="6"/>
      <c r="Q148" s="6"/>
      <c r="R148" s="6"/>
      <c r="S148" s="6"/>
      <c r="T148" s="6"/>
      <c r="U148" s="6"/>
      <c r="V148" s="6"/>
      <c r="W148" s="6"/>
      <c r="X148" s="6"/>
      <c r="Y148" s="6"/>
      <c r="Z148" s="6"/>
    </row>
    <row r="149" ht="22.5" customHeight="1">
      <c r="A149" s="84">
        <v>80.0</v>
      </c>
      <c r="B149" s="90">
        <v>47880.0</v>
      </c>
      <c r="C149" s="80">
        <f t="shared" si="17"/>
        <v>610253.164</v>
      </c>
      <c r="D149" s="80">
        <f t="shared" si="18"/>
        <v>4310.336825</v>
      </c>
      <c r="E149" s="80">
        <f t="shared" si="14"/>
        <v>2664.772149</v>
      </c>
      <c r="F149" s="80">
        <f t="shared" si="15"/>
        <v>1645.564676</v>
      </c>
      <c r="G149" s="81">
        <f t="shared" si="16"/>
        <v>608607.5993</v>
      </c>
      <c r="H149" s="6"/>
      <c r="I149" s="6"/>
      <c r="J149" s="6"/>
      <c r="K149" s="6"/>
      <c r="L149" s="6"/>
      <c r="M149" s="6"/>
      <c r="N149" s="6"/>
      <c r="O149" s="6"/>
      <c r="P149" s="6"/>
      <c r="Q149" s="6"/>
      <c r="R149" s="6"/>
      <c r="S149" s="6"/>
      <c r="T149" s="6"/>
      <c r="U149" s="6"/>
      <c r="V149" s="6"/>
      <c r="W149" s="6"/>
      <c r="X149" s="6"/>
      <c r="Y149" s="6"/>
      <c r="Z149" s="6"/>
    </row>
    <row r="150" ht="22.5" customHeight="1">
      <c r="A150" s="84">
        <v>81.0</v>
      </c>
      <c r="B150" s="90">
        <v>47908.0</v>
      </c>
      <c r="C150" s="80">
        <f t="shared" si="17"/>
        <v>608607.5993</v>
      </c>
      <c r="D150" s="80">
        <f t="shared" si="18"/>
        <v>4310.336825</v>
      </c>
      <c r="E150" s="80">
        <f t="shared" si="14"/>
        <v>2657.586517</v>
      </c>
      <c r="F150" s="80">
        <f t="shared" si="15"/>
        <v>1652.750308</v>
      </c>
      <c r="G150" s="81">
        <f t="shared" si="16"/>
        <v>606954.849</v>
      </c>
      <c r="H150" s="6"/>
      <c r="I150" s="6"/>
      <c r="J150" s="6"/>
      <c r="K150" s="6"/>
      <c r="L150" s="6"/>
      <c r="M150" s="6"/>
      <c r="N150" s="6"/>
      <c r="O150" s="6"/>
      <c r="P150" s="6"/>
      <c r="Q150" s="6"/>
      <c r="R150" s="6"/>
      <c r="S150" s="6"/>
      <c r="T150" s="6"/>
      <c r="U150" s="6"/>
      <c r="V150" s="6"/>
      <c r="W150" s="6"/>
      <c r="X150" s="6"/>
      <c r="Y150" s="6"/>
      <c r="Z150" s="6"/>
    </row>
    <row r="151" ht="22.5" customHeight="1">
      <c r="A151" s="84">
        <v>82.0</v>
      </c>
      <c r="B151" s="90">
        <v>47939.0</v>
      </c>
      <c r="C151" s="80">
        <f t="shared" si="17"/>
        <v>606954.849</v>
      </c>
      <c r="D151" s="80">
        <f t="shared" si="18"/>
        <v>4310.336825</v>
      </c>
      <c r="E151" s="80">
        <f t="shared" si="14"/>
        <v>2650.369507</v>
      </c>
      <c r="F151" s="80">
        <f t="shared" si="15"/>
        <v>1659.967318</v>
      </c>
      <c r="G151" s="81">
        <f t="shared" si="16"/>
        <v>605294.8817</v>
      </c>
      <c r="H151" s="6"/>
      <c r="I151" s="6"/>
      <c r="J151" s="6"/>
      <c r="K151" s="6"/>
      <c r="L151" s="6"/>
      <c r="M151" s="6"/>
      <c r="N151" s="6"/>
      <c r="O151" s="6"/>
      <c r="P151" s="6"/>
      <c r="Q151" s="6"/>
      <c r="R151" s="6"/>
      <c r="S151" s="6"/>
      <c r="T151" s="6"/>
      <c r="U151" s="6"/>
      <c r="V151" s="6"/>
      <c r="W151" s="6"/>
      <c r="X151" s="6"/>
      <c r="Y151" s="6"/>
      <c r="Z151" s="6"/>
    </row>
    <row r="152" ht="22.5" customHeight="1">
      <c r="A152" s="84">
        <v>83.0</v>
      </c>
      <c r="B152" s="90">
        <v>47969.0</v>
      </c>
      <c r="C152" s="80">
        <f t="shared" si="17"/>
        <v>605294.8817</v>
      </c>
      <c r="D152" s="80">
        <f t="shared" si="18"/>
        <v>4310.336825</v>
      </c>
      <c r="E152" s="80">
        <f t="shared" si="14"/>
        <v>2643.120983</v>
      </c>
      <c r="F152" s="80">
        <f t="shared" si="15"/>
        <v>1667.215842</v>
      </c>
      <c r="G152" s="81">
        <f t="shared" si="16"/>
        <v>603627.6658</v>
      </c>
      <c r="H152" s="6"/>
      <c r="I152" s="6"/>
      <c r="J152" s="6"/>
      <c r="K152" s="6"/>
      <c r="L152" s="6"/>
      <c r="M152" s="6"/>
      <c r="N152" s="6"/>
      <c r="O152" s="6"/>
      <c r="P152" s="6"/>
      <c r="Q152" s="6"/>
      <c r="R152" s="6"/>
      <c r="S152" s="6"/>
      <c r="T152" s="6"/>
      <c r="U152" s="6"/>
      <c r="V152" s="6"/>
      <c r="W152" s="6"/>
      <c r="X152" s="6"/>
      <c r="Y152" s="6"/>
      <c r="Z152" s="6"/>
    </row>
    <row r="153" ht="22.5" customHeight="1">
      <c r="A153" s="84">
        <v>84.0</v>
      </c>
      <c r="B153" s="90">
        <v>48000.0</v>
      </c>
      <c r="C153" s="80">
        <f t="shared" si="17"/>
        <v>603627.6658</v>
      </c>
      <c r="D153" s="80">
        <f t="shared" si="18"/>
        <v>4310.336825</v>
      </c>
      <c r="E153" s="80">
        <f t="shared" si="14"/>
        <v>2635.840807</v>
      </c>
      <c r="F153" s="80">
        <f t="shared" si="15"/>
        <v>1674.496017</v>
      </c>
      <c r="G153" s="81">
        <f t="shared" si="16"/>
        <v>601953.1698</v>
      </c>
      <c r="H153" s="6"/>
      <c r="I153" s="6"/>
      <c r="J153" s="6"/>
      <c r="K153" s="6"/>
      <c r="L153" s="6"/>
      <c r="M153" s="6"/>
      <c r="N153" s="6"/>
      <c r="O153" s="6"/>
      <c r="P153" s="6"/>
      <c r="Q153" s="6"/>
      <c r="R153" s="6"/>
      <c r="S153" s="6"/>
      <c r="T153" s="6"/>
      <c r="U153" s="6"/>
      <c r="V153" s="6"/>
      <c r="W153" s="6"/>
      <c r="X153" s="6"/>
      <c r="Y153" s="6"/>
      <c r="Z153" s="6"/>
    </row>
    <row r="154" ht="22.5" customHeight="1">
      <c r="A154" s="84">
        <v>85.0</v>
      </c>
      <c r="B154" s="90">
        <v>48030.0</v>
      </c>
      <c r="C154" s="80">
        <f t="shared" si="17"/>
        <v>601953.1698</v>
      </c>
      <c r="D154" s="80">
        <f t="shared" si="18"/>
        <v>4310.336825</v>
      </c>
      <c r="E154" s="80">
        <f t="shared" si="14"/>
        <v>2628.528841</v>
      </c>
      <c r="F154" s="80">
        <f t="shared" si="15"/>
        <v>1681.807983</v>
      </c>
      <c r="G154" s="81">
        <f t="shared" si="16"/>
        <v>600271.3618</v>
      </c>
      <c r="H154" s="6"/>
      <c r="I154" s="6"/>
      <c r="J154" s="6"/>
      <c r="K154" s="6"/>
      <c r="L154" s="6"/>
      <c r="M154" s="6"/>
      <c r="N154" s="6"/>
      <c r="O154" s="6"/>
      <c r="P154" s="6"/>
      <c r="Q154" s="6"/>
      <c r="R154" s="6"/>
      <c r="S154" s="6"/>
      <c r="T154" s="6"/>
      <c r="U154" s="6"/>
      <c r="V154" s="6"/>
      <c r="W154" s="6"/>
      <c r="X154" s="6"/>
      <c r="Y154" s="6"/>
      <c r="Z154" s="6"/>
    </row>
    <row r="155" ht="22.5" customHeight="1">
      <c r="A155" s="84">
        <v>86.0</v>
      </c>
      <c r="B155" s="90">
        <v>48061.0</v>
      </c>
      <c r="C155" s="80">
        <f t="shared" si="17"/>
        <v>600271.3618</v>
      </c>
      <c r="D155" s="80">
        <f t="shared" si="18"/>
        <v>4310.336825</v>
      </c>
      <c r="E155" s="80">
        <f t="shared" si="14"/>
        <v>2621.184947</v>
      </c>
      <c r="F155" s="80">
        <f t="shared" si="15"/>
        <v>1689.151878</v>
      </c>
      <c r="G155" s="81">
        <f t="shared" si="16"/>
        <v>598582.2099</v>
      </c>
      <c r="H155" s="6"/>
      <c r="I155" s="6"/>
      <c r="J155" s="6"/>
      <c r="K155" s="6"/>
      <c r="L155" s="6"/>
      <c r="M155" s="6"/>
      <c r="N155" s="6"/>
      <c r="O155" s="6"/>
      <c r="P155" s="6"/>
      <c r="Q155" s="6"/>
      <c r="R155" s="6"/>
      <c r="S155" s="6"/>
      <c r="T155" s="6"/>
      <c r="U155" s="6"/>
      <c r="V155" s="6"/>
      <c r="W155" s="6"/>
      <c r="X155" s="6"/>
      <c r="Y155" s="6"/>
      <c r="Z155" s="6"/>
    </row>
    <row r="156" ht="22.5" customHeight="1">
      <c r="A156" s="84">
        <v>87.0</v>
      </c>
      <c r="B156" s="90">
        <v>48092.0</v>
      </c>
      <c r="C156" s="80">
        <f t="shared" si="17"/>
        <v>598582.2099</v>
      </c>
      <c r="D156" s="80">
        <f t="shared" si="18"/>
        <v>4310.336825</v>
      </c>
      <c r="E156" s="80">
        <f t="shared" si="14"/>
        <v>2613.808983</v>
      </c>
      <c r="F156" s="80">
        <f t="shared" si="15"/>
        <v>1696.527841</v>
      </c>
      <c r="G156" s="81">
        <f t="shared" si="16"/>
        <v>596885.6821</v>
      </c>
      <c r="H156" s="6"/>
      <c r="I156" s="6"/>
      <c r="J156" s="6"/>
      <c r="K156" s="6"/>
      <c r="L156" s="6"/>
      <c r="M156" s="6"/>
      <c r="N156" s="6"/>
      <c r="O156" s="6"/>
      <c r="P156" s="6"/>
      <c r="Q156" s="6"/>
      <c r="R156" s="6"/>
      <c r="S156" s="6"/>
      <c r="T156" s="6"/>
      <c r="U156" s="6"/>
      <c r="V156" s="6"/>
      <c r="W156" s="6"/>
      <c r="X156" s="6"/>
      <c r="Y156" s="6"/>
      <c r="Z156" s="6"/>
    </row>
    <row r="157" ht="22.5" customHeight="1">
      <c r="A157" s="84">
        <v>88.0</v>
      </c>
      <c r="B157" s="90">
        <v>48122.0</v>
      </c>
      <c r="C157" s="80">
        <f t="shared" si="17"/>
        <v>596885.6821</v>
      </c>
      <c r="D157" s="80">
        <f t="shared" si="18"/>
        <v>4310.336825</v>
      </c>
      <c r="E157" s="80">
        <f t="shared" si="14"/>
        <v>2606.400812</v>
      </c>
      <c r="F157" s="80">
        <f t="shared" si="15"/>
        <v>1703.936013</v>
      </c>
      <c r="G157" s="81">
        <f t="shared" si="16"/>
        <v>595181.7461</v>
      </c>
      <c r="H157" s="6"/>
      <c r="I157" s="6"/>
      <c r="J157" s="6"/>
      <c r="K157" s="6"/>
      <c r="L157" s="6"/>
      <c r="M157" s="6"/>
      <c r="N157" s="6"/>
      <c r="O157" s="6"/>
      <c r="P157" s="6"/>
      <c r="Q157" s="6"/>
      <c r="R157" s="6"/>
      <c r="S157" s="6"/>
      <c r="T157" s="6"/>
      <c r="U157" s="6"/>
      <c r="V157" s="6"/>
      <c r="W157" s="6"/>
      <c r="X157" s="6"/>
      <c r="Y157" s="6"/>
      <c r="Z157" s="6"/>
    </row>
    <row r="158" ht="22.5" customHeight="1">
      <c r="A158" s="84">
        <v>89.0</v>
      </c>
      <c r="B158" s="90">
        <v>48153.0</v>
      </c>
      <c r="C158" s="80">
        <f t="shared" si="17"/>
        <v>595181.7461</v>
      </c>
      <c r="D158" s="80">
        <f t="shared" si="18"/>
        <v>4310.336825</v>
      </c>
      <c r="E158" s="80">
        <f t="shared" si="14"/>
        <v>2598.960291</v>
      </c>
      <c r="F158" s="80">
        <f t="shared" si="15"/>
        <v>1711.376534</v>
      </c>
      <c r="G158" s="81">
        <f t="shared" si="16"/>
        <v>593470.3695</v>
      </c>
      <c r="H158" s="6"/>
      <c r="I158" s="6"/>
      <c r="J158" s="6"/>
      <c r="K158" s="6"/>
      <c r="L158" s="6"/>
      <c r="M158" s="6"/>
      <c r="N158" s="6"/>
      <c r="O158" s="6"/>
      <c r="P158" s="6"/>
      <c r="Q158" s="6"/>
      <c r="R158" s="6"/>
      <c r="S158" s="6"/>
      <c r="T158" s="6"/>
      <c r="U158" s="6"/>
      <c r="V158" s="6"/>
      <c r="W158" s="6"/>
      <c r="X158" s="6"/>
      <c r="Y158" s="6"/>
      <c r="Z158" s="6"/>
    </row>
    <row r="159" ht="22.5" customHeight="1">
      <c r="A159" s="84">
        <v>90.0</v>
      </c>
      <c r="B159" s="90">
        <v>48183.0</v>
      </c>
      <c r="C159" s="80">
        <f t="shared" si="17"/>
        <v>593470.3695</v>
      </c>
      <c r="D159" s="80">
        <f t="shared" si="18"/>
        <v>4310.336825</v>
      </c>
      <c r="E159" s="80">
        <f t="shared" si="14"/>
        <v>2591.48728</v>
      </c>
      <c r="F159" s="80">
        <f t="shared" si="15"/>
        <v>1718.849544</v>
      </c>
      <c r="G159" s="81">
        <f t="shared" si="16"/>
        <v>591751.52</v>
      </c>
      <c r="H159" s="6"/>
      <c r="I159" s="6"/>
      <c r="J159" s="6"/>
      <c r="K159" s="6"/>
      <c r="L159" s="6"/>
      <c r="M159" s="6"/>
      <c r="N159" s="6"/>
      <c r="O159" s="6"/>
      <c r="P159" s="6"/>
      <c r="Q159" s="6"/>
      <c r="R159" s="6"/>
      <c r="S159" s="6"/>
      <c r="T159" s="6"/>
      <c r="U159" s="6"/>
      <c r="V159" s="6"/>
      <c r="W159" s="6"/>
      <c r="X159" s="6"/>
      <c r="Y159" s="6"/>
      <c r="Z159" s="6"/>
    </row>
    <row r="160" ht="22.5" customHeight="1">
      <c r="A160" s="84">
        <v>91.0</v>
      </c>
      <c r="B160" s="90">
        <v>48214.0</v>
      </c>
      <c r="C160" s="80">
        <f t="shared" si="17"/>
        <v>591751.52</v>
      </c>
      <c r="D160" s="80">
        <f t="shared" si="18"/>
        <v>4310.336825</v>
      </c>
      <c r="E160" s="80">
        <f t="shared" si="14"/>
        <v>2583.981637</v>
      </c>
      <c r="F160" s="80">
        <f t="shared" si="15"/>
        <v>1726.355187</v>
      </c>
      <c r="G160" s="81">
        <f t="shared" si="16"/>
        <v>590025.1648</v>
      </c>
      <c r="H160" s="6"/>
      <c r="I160" s="6"/>
      <c r="J160" s="6"/>
      <c r="K160" s="6"/>
      <c r="L160" s="6"/>
      <c r="M160" s="6"/>
      <c r="N160" s="6"/>
      <c r="O160" s="6"/>
      <c r="P160" s="6"/>
      <c r="Q160" s="6"/>
      <c r="R160" s="6"/>
      <c r="S160" s="6"/>
      <c r="T160" s="6"/>
      <c r="U160" s="6"/>
      <c r="V160" s="6"/>
      <c r="W160" s="6"/>
      <c r="X160" s="6"/>
      <c r="Y160" s="6"/>
      <c r="Z160" s="6"/>
    </row>
    <row r="161" ht="22.5" customHeight="1">
      <c r="A161" s="84">
        <v>92.0</v>
      </c>
      <c r="B161" s="90">
        <v>48245.0</v>
      </c>
      <c r="C161" s="80">
        <f t="shared" si="17"/>
        <v>590025.1648</v>
      </c>
      <c r="D161" s="80">
        <f t="shared" si="18"/>
        <v>4310.336825</v>
      </c>
      <c r="E161" s="80">
        <f t="shared" si="14"/>
        <v>2576.44322</v>
      </c>
      <c r="F161" s="80">
        <f t="shared" si="15"/>
        <v>1733.893605</v>
      </c>
      <c r="G161" s="81">
        <f t="shared" si="16"/>
        <v>588291.2712</v>
      </c>
      <c r="H161" s="6"/>
      <c r="I161" s="6"/>
      <c r="J161" s="6"/>
      <c r="K161" s="6"/>
      <c r="L161" s="6"/>
      <c r="M161" s="6"/>
      <c r="N161" s="6"/>
      <c r="O161" s="6"/>
      <c r="P161" s="6"/>
      <c r="Q161" s="6"/>
      <c r="R161" s="6"/>
      <c r="S161" s="6"/>
      <c r="T161" s="6"/>
      <c r="U161" s="6"/>
      <c r="V161" s="6"/>
      <c r="W161" s="6"/>
      <c r="X161" s="6"/>
      <c r="Y161" s="6"/>
      <c r="Z161" s="6"/>
    </row>
    <row r="162" ht="22.5" customHeight="1">
      <c r="A162" s="84">
        <v>93.0</v>
      </c>
      <c r="B162" s="90">
        <v>48274.0</v>
      </c>
      <c r="C162" s="80">
        <f t="shared" si="17"/>
        <v>588291.2712</v>
      </c>
      <c r="D162" s="80">
        <f t="shared" si="18"/>
        <v>4310.336825</v>
      </c>
      <c r="E162" s="80">
        <f t="shared" si="14"/>
        <v>2568.871884</v>
      </c>
      <c r="F162" s="80">
        <f t="shared" si="15"/>
        <v>1741.464941</v>
      </c>
      <c r="G162" s="81">
        <f t="shared" si="16"/>
        <v>586549.8063</v>
      </c>
      <c r="H162" s="6"/>
      <c r="I162" s="6"/>
      <c r="J162" s="6"/>
      <c r="K162" s="6"/>
      <c r="L162" s="6"/>
      <c r="M162" s="6"/>
      <c r="N162" s="6"/>
      <c r="O162" s="6"/>
      <c r="P162" s="6"/>
      <c r="Q162" s="6"/>
      <c r="R162" s="6"/>
      <c r="S162" s="6"/>
      <c r="T162" s="6"/>
      <c r="U162" s="6"/>
      <c r="V162" s="6"/>
      <c r="W162" s="6"/>
      <c r="X162" s="6"/>
      <c r="Y162" s="6"/>
      <c r="Z162" s="6"/>
    </row>
    <row r="163" ht="22.5" customHeight="1">
      <c r="A163" s="84">
        <v>94.0</v>
      </c>
      <c r="B163" s="90">
        <v>48305.0</v>
      </c>
      <c r="C163" s="80">
        <f t="shared" si="17"/>
        <v>586549.8063</v>
      </c>
      <c r="D163" s="80">
        <f t="shared" si="18"/>
        <v>4310.336825</v>
      </c>
      <c r="E163" s="80">
        <f t="shared" si="14"/>
        <v>2561.267487</v>
      </c>
      <c r="F163" s="80">
        <f t="shared" si="15"/>
        <v>1749.069337</v>
      </c>
      <c r="G163" s="81">
        <f t="shared" si="16"/>
        <v>584800.7369</v>
      </c>
      <c r="H163" s="6"/>
      <c r="I163" s="6"/>
      <c r="J163" s="6"/>
      <c r="K163" s="6"/>
      <c r="L163" s="6"/>
      <c r="M163" s="6"/>
      <c r="N163" s="6"/>
      <c r="O163" s="6"/>
      <c r="P163" s="6"/>
      <c r="Q163" s="6"/>
      <c r="R163" s="6"/>
      <c r="S163" s="6"/>
      <c r="T163" s="6"/>
      <c r="U163" s="6"/>
      <c r="V163" s="6"/>
      <c r="W163" s="6"/>
      <c r="X163" s="6"/>
      <c r="Y163" s="6"/>
      <c r="Z163" s="6"/>
    </row>
    <row r="164" ht="22.5" customHeight="1">
      <c r="A164" s="84">
        <v>95.0</v>
      </c>
      <c r="B164" s="90">
        <v>48335.0</v>
      </c>
      <c r="C164" s="80">
        <f t="shared" si="17"/>
        <v>584800.7369</v>
      </c>
      <c r="D164" s="80">
        <f t="shared" si="18"/>
        <v>4310.336825</v>
      </c>
      <c r="E164" s="80">
        <f t="shared" si="14"/>
        <v>2553.629885</v>
      </c>
      <c r="F164" s="80">
        <f t="shared" si="15"/>
        <v>1756.70694</v>
      </c>
      <c r="G164" s="81">
        <f t="shared" si="16"/>
        <v>583044.03</v>
      </c>
      <c r="H164" s="6"/>
      <c r="I164" s="6"/>
      <c r="J164" s="6"/>
      <c r="K164" s="6"/>
      <c r="L164" s="6"/>
      <c r="M164" s="6"/>
      <c r="N164" s="6"/>
      <c r="O164" s="6"/>
      <c r="P164" s="6"/>
      <c r="Q164" s="6"/>
      <c r="R164" s="6"/>
      <c r="S164" s="6"/>
      <c r="T164" s="6"/>
      <c r="U164" s="6"/>
      <c r="V164" s="6"/>
      <c r="W164" s="6"/>
      <c r="X164" s="6"/>
      <c r="Y164" s="6"/>
      <c r="Z164" s="6"/>
    </row>
    <row r="165" ht="22.5" customHeight="1">
      <c r="A165" s="84">
        <v>96.0</v>
      </c>
      <c r="B165" s="90">
        <v>48366.0</v>
      </c>
      <c r="C165" s="80">
        <f t="shared" si="17"/>
        <v>583044.03</v>
      </c>
      <c r="D165" s="80">
        <f t="shared" si="18"/>
        <v>4310.336825</v>
      </c>
      <c r="E165" s="80">
        <f t="shared" si="14"/>
        <v>2545.958931</v>
      </c>
      <c r="F165" s="80">
        <f t="shared" si="15"/>
        <v>1764.377894</v>
      </c>
      <c r="G165" s="81">
        <f t="shared" si="16"/>
        <v>581279.6521</v>
      </c>
      <c r="H165" s="6"/>
      <c r="I165" s="6"/>
      <c r="J165" s="6"/>
      <c r="K165" s="6"/>
      <c r="L165" s="6"/>
      <c r="M165" s="6"/>
      <c r="N165" s="6"/>
      <c r="O165" s="6"/>
      <c r="P165" s="6"/>
      <c r="Q165" s="6"/>
      <c r="R165" s="6"/>
      <c r="S165" s="6"/>
      <c r="T165" s="6"/>
      <c r="U165" s="6"/>
      <c r="V165" s="6"/>
      <c r="W165" s="6"/>
      <c r="X165" s="6"/>
      <c r="Y165" s="6"/>
      <c r="Z165" s="6"/>
    </row>
    <row r="166" ht="22.5" customHeight="1">
      <c r="A166" s="84">
        <v>97.0</v>
      </c>
      <c r="B166" s="90">
        <v>48396.0</v>
      </c>
      <c r="C166" s="80">
        <f t="shared" si="17"/>
        <v>581279.6521</v>
      </c>
      <c r="D166" s="80">
        <f t="shared" si="18"/>
        <v>4310.336825</v>
      </c>
      <c r="E166" s="80">
        <f t="shared" si="14"/>
        <v>2538.254481</v>
      </c>
      <c r="F166" s="80">
        <f t="shared" si="15"/>
        <v>1772.082344</v>
      </c>
      <c r="G166" s="81">
        <f t="shared" si="16"/>
        <v>579507.5697</v>
      </c>
      <c r="H166" s="6"/>
      <c r="I166" s="6"/>
      <c r="J166" s="6"/>
      <c r="K166" s="6"/>
      <c r="L166" s="6"/>
      <c r="M166" s="6"/>
      <c r="N166" s="6"/>
      <c r="O166" s="6"/>
      <c r="P166" s="6"/>
      <c r="Q166" s="6"/>
      <c r="R166" s="6"/>
      <c r="S166" s="6"/>
      <c r="T166" s="6"/>
      <c r="U166" s="6"/>
      <c r="V166" s="6"/>
      <c r="W166" s="6"/>
      <c r="X166" s="6"/>
      <c r="Y166" s="6"/>
      <c r="Z166" s="6"/>
    </row>
    <row r="167" ht="22.5" customHeight="1">
      <c r="A167" s="84">
        <v>98.0</v>
      </c>
      <c r="B167" s="90">
        <v>48427.0</v>
      </c>
      <c r="C167" s="80">
        <f t="shared" si="17"/>
        <v>579507.5697</v>
      </c>
      <c r="D167" s="80">
        <f t="shared" si="18"/>
        <v>4310.336825</v>
      </c>
      <c r="E167" s="80">
        <f t="shared" si="14"/>
        <v>2530.516388</v>
      </c>
      <c r="F167" s="80">
        <f t="shared" si="15"/>
        <v>1779.820437</v>
      </c>
      <c r="G167" s="81">
        <f t="shared" si="16"/>
        <v>577727.7493</v>
      </c>
      <c r="H167" s="6"/>
      <c r="I167" s="6"/>
      <c r="J167" s="6"/>
      <c r="K167" s="6"/>
      <c r="L167" s="6"/>
      <c r="M167" s="6"/>
      <c r="N167" s="6"/>
      <c r="O167" s="6"/>
      <c r="P167" s="6"/>
      <c r="Q167" s="6"/>
      <c r="R167" s="6"/>
      <c r="S167" s="6"/>
      <c r="T167" s="6"/>
      <c r="U167" s="6"/>
      <c r="V167" s="6"/>
      <c r="W167" s="6"/>
      <c r="X167" s="6"/>
      <c r="Y167" s="6"/>
      <c r="Z167" s="6"/>
    </row>
    <row r="168" ht="22.5" customHeight="1">
      <c r="A168" s="84">
        <v>99.0</v>
      </c>
      <c r="B168" s="90">
        <v>48458.0</v>
      </c>
      <c r="C168" s="80">
        <f t="shared" si="17"/>
        <v>577727.7493</v>
      </c>
      <c r="D168" s="80">
        <f t="shared" si="18"/>
        <v>4310.336825</v>
      </c>
      <c r="E168" s="80">
        <f t="shared" si="14"/>
        <v>2522.744505</v>
      </c>
      <c r="F168" s="80">
        <f t="shared" si="15"/>
        <v>1787.592319</v>
      </c>
      <c r="G168" s="81">
        <f t="shared" si="16"/>
        <v>575940.157</v>
      </c>
      <c r="H168" s="6"/>
      <c r="I168" s="6"/>
      <c r="J168" s="6"/>
      <c r="K168" s="6"/>
      <c r="L168" s="6"/>
      <c r="M168" s="6"/>
      <c r="N168" s="6"/>
      <c r="O168" s="6"/>
      <c r="P168" s="6"/>
      <c r="Q168" s="6"/>
      <c r="R168" s="6"/>
      <c r="S168" s="6"/>
      <c r="T168" s="6"/>
      <c r="U168" s="6"/>
      <c r="V168" s="6"/>
      <c r="W168" s="6"/>
      <c r="X168" s="6"/>
      <c r="Y168" s="6"/>
      <c r="Z168" s="6"/>
    </row>
    <row r="169" ht="22.5" customHeight="1">
      <c r="A169" s="84">
        <v>100.0</v>
      </c>
      <c r="B169" s="90">
        <v>48488.0</v>
      </c>
      <c r="C169" s="80">
        <f t="shared" si="17"/>
        <v>575940.157</v>
      </c>
      <c r="D169" s="80">
        <f t="shared" si="18"/>
        <v>4310.336825</v>
      </c>
      <c r="E169" s="80">
        <f t="shared" si="14"/>
        <v>2514.938686</v>
      </c>
      <c r="F169" s="80">
        <f t="shared" si="15"/>
        <v>1795.398139</v>
      </c>
      <c r="G169" s="81">
        <f t="shared" si="16"/>
        <v>574144.7589</v>
      </c>
      <c r="H169" s="6"/>
      <c r="I169" s="6"/>
      <c r="J169" s="6"/>
      <c r="K169" s="6"/>
      <c r="L169" s="6"/>
      <c r="M169" s="6"/>
      <c r="N169" s="6"/>
      <c r="O169" s="6"/>
      <c r="P169" s="6"/>
      <c r="Q169" s="6"/>
      <c r="R169" s="6"/>
      <c r="S169" s="6"/>
      <c r="T169" s="6"/>
      <c r="U169" s="6"/>
      <c r="V169" s="6"/>
      <c r="W169" s="6"/>
      <c r="X169" s="6"/>
      <c r="Y169" s="6"/>
      <c r="Z169" s="6"/>
    </row>
    <row r="170" ht="22.5" customHeight="1">
      <c r="A170" s="84">
        <v>101.0</v>
      </c>
      <c r="B170" s="90">
        <v>48519.0</v>
      </c>
      <c r="C170" s="80">
        <f t="shared" si="17"/>
        <v>574144.7589</v>
      </c>
      <c r="D170" s="80">
        <f t="shared" si="18"/>
        <v>4310.336825</v>
      </c>
      <c r="E170" s="80">
        <f t="shared" si="14"/>
        <v>2507.09878</v>
      </c>
      <c r="F170" s="80">
        <f t="shared" si="15"/>
        <v>1803.238044</v>
      </c>
      <c r="G170" s="81">
        <f t="shared" si="16"/>
        <v>572341.5208</v>
      </c>
      <c r="H170" s="6"/>
      <c r="I170" s="6"/>
      <c r="J170" s="6"/>
      <c r="K170" s="6"/>
      <c r="L170" s="6"/>
      <c r="M170" s="6"/>
      <c r="N170" s="6"/>
      <c r="O170" s="6"/>
      <c r="P170" s="6"/>
      <c r="Q170" s="6"/>
      <c r="R170" s="6"/>
      <c r="S170" s="6"/>
      <c r="T170" s="6"/>
      <c r="U170" s="6"/>
      <c r="V170" s="6"/>
      <c r="W170" s="6"/>
      <c r="X170" s="6"/>
      <c r="Y170" s="6"/>
      <c r="Z170" s="6"/>
    </row>
    <row r="171" ht="22.5" customHeight="1">
      <c r="A171" s="84">
        <v>102.0</v>
      </c>
      <c r="B171" s="90">
        <v>48549.0</v>
      </c>
      <c r="C171" s="80">
        <f t="shared" si="17"/>
        <v>572341.5208</v>
      </c>
      <c r="D171" s="80">
        <f t="shared" si="18"/>
        <v>4310.336825</v>
      </c>
      <c r="E171" s="80">
        <f t="shared" si="14"/>
        <v>2499.224641</v>
      </c>
      <c r="F171" s="80">
        <f t="shared" si="15"/>
        <v>1811.112184</v>
      </c>
      <c r="G171" s="81">
        <f t="shared" si="16"/>
        <v>570530.4086</v>
      </c>
      <c r="H171" s="6"/>
      <c r="I171" s="6"/>
      <c r="J171" s="6"/>
      <c r="K171" s="6"/>
      <c r="L171" s="6"/>
      <c r="M171" s="6"/>
      <c r="N171" s="6"/>
      <c r="O171" s="6"/>
      <c r="P171" s="6"/>
      <c r="Q171" s="6"/>
      <c r="R171" s="6"/>
      <c r="S171" s="6"/>
      <c r="T171" s="6"/>
      <c r="U171" s="6"/>
      <c r="V171" s="6"/>
      <c r="W171" s="6"/>
      <c r="X171" s="6"/>
      <c r="Y171" s="6"/>
      <c r="Z171" s="6"/>
    </row>
    <row r="172" ht="22.5" customHeight="1">
      <c r="A172" s="84">
        <v>103.0</v>
      </c>
      <c r="B172" s="90">
        <v>48580.0</v>
      </c>
      <c r="C172" s="80">
        <f t="shared" si="17"/>
        <v>570530.4086</v>
      </c>
      <c r="D172" s="80">
        <f t="shared" si="18"/>
        <v>4310.336825</v>
      </c>
      <c r="E172" s="80">
        <f t="shared" si="14"/>
        <v>2491.316118</v>
      </c>
      <c r="F172" s="80">
        <f t="shared" si="15"/>
        <v>1819.020707</v>
      </c>
      <c r="G172" s="81">
        <f t="shared" si="16"/>
        <v>568711.3879</v>
      </c>
      <c r="H172" s="6"/>
      <c r="I172" s="6"/>
      <c r="J172" s="6"/>
      <c r="K172" s="6"/>
      <c r="L172" s="6"/>
      <c r="M172" s="6"/>
      <c r="N172" s="6"/>
      <c r="O172" s="6"/>
      <c r="P172" s="6"/>
      <c r="Q172" s="6"/>
      <c r="R172" s="6"/>
      <c r="S172" s="6"/>
      <c r="T172" s="6"/>
      <c r="U172" s="6"/>
      <c r="V172" s="6"/>
      <c r="W172" s="6"/>
      <c r="X172" s="6"/>
      <c r="Y172" s="6"/>
      <c r="Z172" s="6"/>
    </row>
    <row r="173" ht="22.5" customHeight="1">
      <c r="A173" s="84">
        <v>104.0</v>
      </c>
      <c r="B173" s="90">
        <v>48611.0</v>
      </c>
      <c r="C173" s="80">
        <f t="shared" si="17"/>
        <v>568711.3879</v>
      </c>
      <c r="D173" s="80">
        <f t="shared" si="18"/>
        <v>4310.336825</v>
      </c>
      <c r="E173" s="80">
        <f t="shared" si="14"/>
        <v>2483.373061</v>
      </c>
      <c r="F173" s="80">
        <f t="shared" si="15"/>
        <v>1826.963764</v>
      </c>
      <c r="G173" s="81">
        <f t="shared" si="16"/>
        <v>566884.4242</v>
      </c>
      <c r="H173" s="6"/>
      <c r="I173" s="6"/>
      <c r="J173" s="6"/>
      <c r="K173" s="6"/>
      <c r="L173" s="6"/>
      <c r="M173" s="6"/>
      <c r="N173" s="6"/>
      <c r="O173" s="6"/>
      <c r="P173" s="6"/>
      <c r="Q173" s="6"/>
      <c r="R173" s="6"/>
      <c r="S173" s="6"/>
      <c r="T173" s="6"/>
      <c r="U173" s="6"/>
      <c r="V173" s="6"/>
      <c r="W173" s="6"/>
      <c r="X173" s="6"/>
      <c r="Y173" s="6"/>
      <c r="Z173" s="6"/>
    </row>
    <row r="174" ht="22.5" customHeight="1">
      <c r="A174" s="84">
        <v>105.0</v>
      </c>
      <c r="B174" s="90">
        <v>48639.0</v>
      </c>
      <c r="C174" s="80">
        <f t="shared" si="17"/>
        <v>566884.4242</v>
      </c>
      <c r="D174" s="80">
        <f t="shared" si="18"/>
        <v>4310.336825</v>
      </c>
      <c r="E174" s="80">
        <f t="shared" si="14"/>
        <v>2475.395319</v>
      </c>
      <c r="F174" s="80">
        <f t="shared" si="15"/>
        <v>1834.941506</v>
      </c>
      <c r="G174" s="81">
        <f t="shared" si="16"/>
        <v>565049.4826</v>
      </c>
      <c r="H174" s="6"/>
      <c r="I174" s="6"/>
      <c r="J174" s="6"/>
      <c r="K174" s="6"/>
      <c r="L174" s="6"/>
      <c r="M174" s="6"/>
      <c r="N174" s="6"/>
      <c r="O174" s="6"/>
      <c r="P174" s="6"/>
      <c r="Q174" s="6"/>
      <c r="R174" s="6"/>
      <c r="S174" s="6"/>
      <c r="T174" s="6"/>
      <c r="U174" s="6"/>
      <c r="V174" s="6"/>
      <c r="W174" s="6"/>
      <c r="X174" s="6"/>
      <c r="Y174" s="6"/>
      <c r="Z174" s="6"/>
    </row>
    <row r="175" ht="22.5" customHeight="1">
      <c r="A175" s="84">
        <v>106.0</v>
      </c>
      <c r="B175" s="90">
        <v>48670.0</v>
      </c>
      <c r="C175" s="80">
        <f t="shared" si="17"/>
        <v>565049.4826</v>
      </c>
      <c r="D175" s="80">
        <f t="shared" si="18"/>
        <v>4310.336825</v>
      </c>
      <c r="E175" s="80">
        <f t="shared" si="14"/>
        <v>2467.382741</v>
      </c>
      <c r="F175" s="80">
        <f t="shared" si="15"/>
        <v>1842.954084</v>
      </c>
      <c r="G175" s="81">
        <f t="shared" si="16"/>
        <v>563206.5286</v>
      </c>
      <c r="H175" s="6"/>
      <c r="I175" s="6"/>
      <c r="J175" s="6"/>
      <c r="K175" s="6"/>
      <c r="L175" s="6"/>
      <c r="M175" s="6"/>
      <c r="N175" s="6"/>
      <c r="O175" s="6"/>
      <c r="P175" s="6"/>
      <c r="Q175" s="6"/>
      <c r="R175" s="6"/>
      <c r="S175" s="6"/>
      <c r="T175" s="6"/>
      <c r="U175" s="6"/>
      <c r="V175" s="6"/>
      <c r="W175" s="6"/>
      <c r="X175" s="6"/>
      <c r="Y175" s="6"/>
      <c r="Z175" s="6"/>
    </row>
    <row r="176" ht="22.5" customHeight="1">
      <c r="A176" s="84">
        <v>107.0</v>
      </c>
      <c r="B176" s="90">
        <v>48700.0</v>
      </c>
      <c r="C176" s="80">
        <f t="shared" si="17"/>
        <v>563206.5286</v>
      </c>
      <c r="D176" s="80">
        <f t="shared" si="18"/>
        <v>4310.336825</v>
      </c>
      <c r="E176" s="80">
        <f t="shared" si="14"/>
        <v>2459.335175</v>
      </c>
      <c r="F176" s="80">
        <f t="shared" si="15"/>
        <v>1851.00165</v>
      </c>
      <c r="G176" s="81">
        <f t="shared" si="16"/>
        <v>561355.5269</v>
      </c>
      <c r="H176" s="6"/>
      <c r="I176" s="6"/>
      <c r="J176" s="6"/>
      <c r="K176" s="6"/>
      <c r="L176" s="6"/>
      <c r="M176" s="6"/>
      <c r="N176" s="6"/>
      <c r="O176" s="6"/>
      <c r="P176" s="6"/>
      <c r="Q176" s="6"/>
      <c r="R176" s="6"/>
      <c r="S176" s="6"/>
      <c r="T176" s="6"/>
      <c r="U176" s="6"/>
      <c r="V176" s="6"/>
      <c r="W176" s="6"/>
      <c r="X176" s="6"/>
      <c r="Y176" s="6"/>
      <c r="Z176" s="6"/>
    </row>
    <row r="177" ht="22.5" customHeight="1">
      <c r="A177" s="84">
        <v>108.0</v>
      </c>
      <c r="B177" s="90">
        <v>48731.0</v>
      </c>
      <c r="C177" s="80">
        <f t="shared" si="17"/>
        <v>561355.5269</v>
      </c>
      <c r="D177" s="80">
        <f t="shared" si="18"/>
        <v>4310.336825</v>
      </c>
      <c r="E177" s="80">
        <f t="shared" si="14"/>
        <v>2451.252468</v>
      </c>
      <c r="F177" s="80">
        <f t="shared" si="15"/>
        <v>1859.084357</v>
      </c>
      <c r="G177" s="81">
        <f t="shared" si="16"/>
        <v>559496.4426</v>
      </c>
      <c r="H177" s="6"/>
      <c r="I177" s="6"/>
      <c r="J177" s="6"/>
      <c r="K177" s="6"/>
      <c r="L177" s="6"/>
      <c r="M177" s="6"/>
      <c r="N177" s="6"/>
      <c r="O177" s="6"/>
      <c r="P177" s="6"/>
      <c r="Q177" s="6"/>
      <c r="R177" s="6"/>
      <c r="S177" s="6"/>
      <c r="T177" s="6"/>
      <c r="U177" s="6"/>
      <c r="V177" s="6"/>
      <c r="W177" s="6"/>
      <c r="X177" s="6"/>
      <c r="Y177" s="6"/>
      <c r="Z177" s="6"/>
    </row>
    <row r="178" ht="22.5" customHeight="1">
      <c r="A178" s="84">
        <v>109.0</v>
      </c>
      <c r="B178" s="90">
        <v>48761.0</v>
      </c>
      <c r="C178" s="80">
        <f t="shared" si="17"/>
        <v>559496.4426</v>
      </c>
      <c r="D178" s="80">
        <f t="shared" si="18"/>
        <v>4310.336825</v>
      </c>
      <c r="E178" s="80">
        <f t="shared" si="14"/>
        <v>2443.134466</v>
      </c>
      <c r="F178" s="80">
        <f t="shared" si="15"/>
        <v>1867.202359</v>
      </c>
      <c r="G178" s="81">
        <f t="shared" si="16"/>
        <v>557629.2402</v>
      </c>
      <c r="H178" s="6"/>
      <c r="I178" s="6"/>
      <c r="J178" s="6"/>
      <c r="K178" s="6"/>
      <c r="L178" s="6"/>
      <c r="M178" s="6"/>
      <c r="N178" s="6"/>
      <c r="O178" s="6"/>
      <c r="P178" s="6"/>
      <c r="Q178" s="6"/>
      <c r="R178" s="6"/>
      <c r="S178" s="6"/>
      <c r="T178" s="6"/>
      <c r="U178" s="6"/>
      <c r="V178" s="6"/>
      <c r="W178" s="6"/>
      <c r="X178" s="6"/>
      <c r="Y178" s="6"/>
      <c r="Z178" s="6"/>
    </row>
    <row r="179" ht="22.5" customHeight="1">
      <c r="A179" s="84">
        <v>110.0</v>
      </c>
      <c r="B179" s="90">
        <v>48792.0</v>
      </c>
      <c r="C179" s="80">
        <f t="shared" si="17"/>
        <v>557629.2402</v>
      </c>
      <c r="D179" s="80">
        <f t="shared" si="18"/>
        <v>4310.336825</v>
      </c>
      <c r="E179" s="80">
        <f t="shared" si="14"/>
        <v>2434.981016</v>
      </c>
      <c r="F179" s="80">
        <f t="shared" si="15"/>
        <v>1875.355809</v>
      </c>
      <c r="G179" s="81">
        <f t="shared" si="16"/>
        <v>555753.8844</v>
      </c>
      <c r="H179" s="6"/>
      <c r="I179" s="6"/>
      <c r="J179" s="6"/>
      <c r="K179" s="6"/>
      <c r="L179" s="6"/>
      <c r="M179" s="6"/>
      <c r="N179" s="6"/>
      <c r="O179" s="6"/>
      <c r="P179" s="6"/>
      <c r="Q179" s="6"/>
      <c r="R179" s="6"/>
      <c r="S179" s="6"/>
      <c r="T179" s="6"/>
      <c r="U179" s="6"/>
      <c r="V179" s="6"/>
      <c r="W179" s="6"/>
      <c r="X179" s="6"/>
      <c r="Y179" s="6"/>
      <c r="Z179" s="6"/>
    </row>
    <row r="180" ht="22.5" customHeight="1">
      <c r="A180" s="84">
        <v>111.0</v>
      </c>
      <c r="B180" s="90">
        <v>48823.0</v>
      </c>
      <c r="C180" s="80">
        <f t="shared" si="17"/>
        <v>555753.8844</v>
      </c>
      <c r="D180" s="80">
        <f t="shared" si="18"/>
        <v>4310.336825</v>
      </c>
      <c r="E180" s="80">
        <f t="shared" si="14"/>
        <v>2426.791962</v>
      </c>
      <c r="F180" s="80">
        <f t="shared" si="15"/>
        <v>1883.544863</v>
      </c>
      <c r="G180" s="81">
        <f t="shared" si="16"/>
        <v>553870.3395</v>
      </c>
      <c r="H180" s="6"/>
      <c r="I180" s="6"/>
      <c r="J180" s="6"/>
      <c r="K180" s="6"/>
      <c r="L180" s="6"/>
      <c r="M180" s="6"/>
      <c r="N180" s="6"/>
      <c r="O180" s="6"/>
      <c r="P180" s="6"/>
      <c r="Q180" s="6"/>
      <c r="R180" s="6"/>
      <c r="S180" s="6"/>
      <c r="T180" s="6"/>
      <c r="U180" s="6"/>
      <c r="V180" s="6"/>
      <c r="W180" s="6"/>
      <c r="X180" s="6"/>
      <c r="Y180" s="6"/>
      <c r="Z180" s="6"/>
    </row>
    <row r="181" ht="22.5" customHeight="1">
      <c r="A181" s="84">
        <v>112.0</v>
      </c>
      <c r="B181" s="90">
        <v>48853.0</v>
      </c>
      <c r="C181" s="80">
        <f t="shared" si="17"/>
        <v>553870.3395</v>
      </c>
      <c r="D181" s="80">
        <f t="shared" si="18"/>
        <v>4310.336825</v>
      </c>
      <c r="E181" s="80">
        <f t="shared" si="14"/>
        <v>2418.567149</v>
      </c>
      <c r="F181" s="80">
        <f t="shared" si="15"/>
        <v>1891.769676</v>
      </c>
      <c r="G181" s="81">
        <f t="shared" si="16"/>
        <v>551978.5699</v>
      </c>
      <c r="H181" s="6"/>
      <c r="I181" s="6"/>
      <c r="J181" s="6"/>
      <c r="K181" s="6"/>
      <c r="L181" s="6"/>
      <c r="M181" s="6"/>
      <c r="N181" s="6"/>
      <c r="O181" s="6"/>
      <c r="P181" s="6"/>
      <c r="Q181" s="6"/>
      <c r="R181" s="6"/>
      <c r="S181" s="6"/>
      <c r="T181" s="6"/>
      <c r="U181" s="6"/>
      <c r="V181" s="6"/>
      <c r="W181" s="6"/>
      <c r="X181" s="6"/>
      <c r="Y181" s="6"/>
      <c r="Z181" s="6"/>
    </row>
    <row r="182" ht="22.5" customHeight="1">
      <c r="A182" s="84">
        <v>113.0</v>
      </c>
      <c r="B182" s="90">
        <v>48884.0</v>
      </c>
      <c r="C182" s="80">
        <f t="shared" si="17"/>
        <v>551978.5699</v>
      </c>
      <c r="D182" s="80">
        <f t="shared" si="18"/>
        <v>4310.336825</v>
      </c>
      <c r="E182" s="80">
        <f t="shared" si="14"/>
        <v>2410.306422</v>
      </c>
      <c r="F182" s="80">
        <f t="shared" si="15"/>
        <v>1900.030403</v>
      </c>
      <c r="G182" s="81">
        <f t="shared" si="16"/>
        <v>550078.5394</v>
      </c>
      <c r="H182" s="6"/>
      <c r="I182" s="6"/>
      <c r="J182" s="6"/>
      <c r="K182" s="6"/>
      <c r="L182" s="6"/>
      <c r="M182" s="6"/>
      <c r="N182" s="6"/>
      <c r="O182" s="6"/>
      <c r="P182" s="6"/>
      <c r="Q182" s="6"/>
      <c r="R182" s="6"/>
      <c r="S182" s="6"/>
      <c r="T182" s="6"/>
      <c r="U182" s="6"/>
      <c r="V182" s="6"/>
      <c r="W182" s="6"/>
      <c r="X182" s="6"/>
      <c r="Y182" s="6"/>
      <c r="Z182" s="6"/>
    </row>
    <row r="183" ht="22.5" customHeight="1">
      <c r="A183" s="84">
        <v>114.0</v>
      </c>
      <c r="B183" s="90">
        <v>48914.0</v>
      </c>
      <c r="C183" s="80">
        <f t="shared" si="17"/>
        <v>550078.5394</v>
      </c>
      <c r="D183" s="80">
        <f t="shared" si="18"/>
        <v>4310.336825</v>
      </c>
      <c r="E183" s="80">
        <f t="shared" si="14"/>
        <v>2402.009622</v>
      </c>
      <c r="F183" s="80">
        <f t="shared" si="15"/>
        <v>1908.327203</v>
      </c>
      <c r="G183" s="81">
        <f t="shared" si="16"/>
        <v>548170.2122</v>
      </c>
      <c r="H183" s="6"/>
      <c r="I183" s="6"/>
      <c r="J183" s="6"/>
      <c r="K183" s="6"/>
      <c r="L183" s="6"/>
      <c r="M183" s="6"/>
      <c r="N183" s="6"/>
      <c r="O183" s="6"/>
      <c r="P183" s="6"/>
      <c r="Q183" s="6"/>
      <c r="R183" s="6"/>
      <c r="S183" s="6"/>
      <c r="T183" s="6"/>
      <c r="U183" s="6"/>
      <c r="V183" s="6"/>
      <c r="W183" s="6"/>
      <c r="X183" s="6"/>
      <c r="Y183" s="6"/>
      <c r="Z183" s="6"/>
    </row>
    <row r="184" ht="22.5" customHeight="1">
      <c r="A184" s="84">
        <v>115.0</v>
      </c>
      <c r="B184" s="90">
        <v>48945.0</v>
      </c>
      <c r="C184" s="80">
        <f t="shared" si="17"/>
        <v>548170.2122</v>
      </c>
      <c r="D184" s="80">
        <f t="shared" si="18"/>
        <v>4310.336825</v>
      </c>
      <c r="E184" s="80">
        <f t="shared" si="14"/>
        <v>2393.676593</v>
      </c>
      <c r="F184" s="80">
        <f t="shared" si="15"/>
        <v>1916.660231</v>
      </c>
      <c r="G184" s="81">
        <f t="shared" si="16"/>
        <v>546253.552</v>
      </c>
      <c r="H184" s="6"/>
      <c r="I184" s="6"/>
      <c r="J184" s="6"/>
      <c r="K184" s="6"/>
      <c r="L184" s="6"/>
      <c r="M184" s="6"/>
      <c r="N184" s="6"/>
      <c r="O184" s="6"/>
      <c r="P184" s="6"/>
      <c r="Q184" s="6"/>
      <c r="R184" s="6"/>
      <c r="S184" s="6"/>
      <c r="T184" s="6"/>
      <c r="U184" s="6"/>
      <c r="V184" s="6"/>
      <c r="W184" s="6"/>
      <c r="X184" s="6"/>
      <c r="Y184" s="6"/>
      <c r="Z184" s="6"/>
    </row>
    <row r="185" ht="22.5" customHeight="1">
      <c r="A185" s="84">
        <v>116.0</v>
      </c>
      <c r="B185" s="90">
        <v>48976.0</v>
      </c>
      <c r="C185" s="80">
        <f t="shared" si="17"/>
        <v>546253.552</v>
      </c>
      <c r="D185" s="80">
        <f t="shared" si="18"/>
        <v>4310.336825</v>
      </c>
      <c r="E185" s="80">
        <f t="shared" si="14"/>
        <v>2385.307177</v>
      </c>
      <c r="F185" s="80">
        <f t="shared" si="15"/>
        <v>1925.029648</v>
      </c>
      <c r="G185" s="81">
        <f t="shared" si="16"/>
        <v>544328.5224</v>
      </c>
      <c r="H185" s="6"/>
      <c r="I185" s="6"/>
      <c r="J185" s="6"/>
      <c r="K185" s="6"/>
      <c r="L185" s="6"/>
      <c r="M185" s="6"/>
      <c r="N185" s="6"/>
      <c r="O185" s="6"/>
      <c r="P185" s="6"/>
      <c r="Q185" s="6"/>
      <c r="R185" s="6"/>
      <c r="S185" s="6"/>
      <c r="T185" s="6"/>
      <c r="U185" s="6"/>
      <c r="V185" s="6"/>
      <c r="W185" s="6"/>
      <c r="X185" s="6"/>
      <c r="Y185" s="6"/>
      <c r="Z185" s="6"/>
    </row>
    <row r="186" ht="22.5" customHeight="1">
      <c r="A186" s="84">
        <v>117.0</v>
      </c>
      <c r="B186" s="90">
        <v>49004.0</v>
      </c>
      <c r="C186" s="80">
        <f t="shared" si="17"/>
        <v>544328.5224</v>
      </c>
      <c r="D186" s="80">
        <f t="shared" si="18"/>
        <v>4310.336825</v>
      </c>
      <c r="E186" s="80">
        <f t="shared" si="14"/>
        <v>2376.901214</v>
      </c>
      <c r="F186" s="80">
        <f t="shared" si="15"/>
        <v>1933.43561</v>
      </c>
      <c r="G186" s="81">
        <f t="shared" si="16"/>
        <v>542395.0868</v>
      </c>
      <c r="H186" s="6"/>
      <c r="I186" s="6"/>
      <c r="J186" s="6"/>
      <c r="K186" s="6"/>
      <c r="L186" s="6"/>
      <c r="M186" s="6"/>
      <c r="N186" s="6"/>
      <c r="O186" s="6"/>
      <c r="P186" s="6"/>
      <c r="Q186" s="6"/>
      <c r="R186" s="6"/>
      <c r="S186" s="6"/>
      <c r="T186" s="6"/>
      <c r="U186" s="6"/>
      <c r="V186" s="6"/>
      <c r="W186" s="6"/>
      <c r="X186" s="6"/>
      <c r="Y186" s="6"/>
      <c r="Z186" s="6"/>
    </row>
    <row r="187" ht="22.5" customHeight="1">
      <c r="A187" s="84">
        <v>118.0</v>
      </c>
      <c r="B187" s="90">
        <v>49035.0</v>
      </c>
      <c r="C187" s="80">
        <f t="shared" si="17"/>
        <v>542395.0868</v>
      </c>
      <c r="D187" s="80">
        <f t="shared" si="18"/>
        <v>4310.336825</v>
      </c>
      <c r="E187" s="80">
        <f t="shared" si="14"/>
        <v>2368.458545</v>
      </c>
      <c r="F187" s="80">
        <f t="shared" si="15"/>
        <v>1941.878279</v>
      </c>
      <c r="G187" s="81">
        <f t="shared" si="16"/>
        <v>540453.2085</v>
      </c>
      <c r="H187" s="6"/>
      <c r="I187" s="6"/>
      <c r="J187" s="6"/>
      <c r="K187" s="6"/>
      <c r="L187" s="6"/>
      <c r="M187" s="6"/>
      <c r="N187" s="6"/>
      <c r="O187" s="6"/>
      <c r="P187" s="6"/>
      <c r="Q187" s="6"/>
      <c r="R187" s="6"/>
      <c r="S187" s="6"/>
      <c r="T187" s="6"/>
      <c r="U187" s="6"/>
      <c r="V187" s="6"/>
      <c r="W187" s="6"/>
      <c r="X187" s="6"/>
      <c r="Y187" s="6"/>
      <c r="Z187" s="6"/>
    </row>
    <row r="188" ht="22.5" customHeight="1">
      <c r="A188" s="84">
        <v>119.0</v>
      </c>
      <c r="B188" s="90">
        <v>49065.0</v>
      </c>
      <c r="C188" s="80">
        <f t="shared" si="17"/>
        <v>540453.2085</v>
      </c>
      <c r="D188" s="80">
        <f t="shared" si="18"/>
        <v>4310.336825</v>
      </c>
      <c r="E188" s="80">
        <f t="shared" si="14"/>
        <v>2359.97901</v>
      </c>
      <c r="F188" s="80">
        <f t="shared" si="15"/>
        <v>1950.357814</v>
      </c>
      <c r="G188" s="81">
        <f t="shared" si="16"/>
        <v>538502.8507</v>
      </c>
      <c r="H188" s="6"/>
      <c r="I188" s="6"/>
      <c r="J188" s="6"/>
      <c r="K188" s="6"/>
      <c r="L188" s="6"/>
      <c r="M188" s="6"/>
      <c r="N188" s="6"/>
      <c r="O188" s="6"/>
      <c r="P188" s="6"/>
      <c r="Q188" s="6"/>
      <c r="R188" s="6"/>
      <c r="S188" s="6"/>
      <c r="T188" s="6"/>
      <c r="U188" s="6"/>
      <c r="V188" s="6"/>
      <c r="W188" s="6"/>
      <c r="X188" s="6"/>
      <c r="Y188" s="6"/>
      <c r="Z188" s="6"/>
    </row>
    <row r="189" ht="22.5" customHeight="1">
      <c r="A189" s="84">
        <v>120.0</v>
      </c>
      <c r="B189" s="90">
        <v>49096.0</v>
      </c>
      <c r="C189" s="80">
        <f t="shared" si="17"/>
        <v>538502.8507</v>
      </c>
      <c r="D189" s="80">
        <f t="shared" si="18"/>
        <v>4310.336825</v>
      </c>
      <c r="E189" s="80">
        <f t="shared" si="14"/>
        <v>2351.462448</v>
      </c>
      <c r="F189" s="80">
        <f t="shared" si="15"/>
        <v>1958.874377</v>
      </c>
      <c r="G189" s="81">
        <f t="shared" si="16"/>
        <v>536543.9763</v>
      </c>
      <c r="H189" s="6"/>
      <c r="I189" s="6"/>
      <c r="J189" s="6"/>
      <c r="K189" s="6"/>
      <c r="L189" s="6"/>
      <c r="M189" s="6"/>
      <c r="N189" s="6"/>
      <c r="O189" s="6"/>
      <c r="P189" s="6"/>
      <c r="Q189" s="6"/>
      <c r="R189" s="6"/>
      <c r="S189" s="6"/>
      <c r="T189" s="6"/>
      <c r="U189" s="6"/>
      <c r="V189" s="6"/>
      <c r="W189" s="6"/>
      <c r="X189" s="6"/>
      <c r="Y189" s="6"/>
      <c r="Z189" s="6"/>
    </row>
    <row r="190" ht="22.5" customHeight="1">
      <c r="A190" s="84">
        <v>121.0</v>
      </c>
      <c r="B190" s="90">
        <v>49126.0</v>
      </c>
      <c r="C190" s="80">
        <f t="shared" si="17"/>
        <v>536543.9763</v>
      </c>
      <c r="D190" s="80">
        <f t="shared" si="18"/>
        <v>4310.336825</v>
      </c>
      <c r="E190" s="80">
        <f t="shared" si="14"/>
        <v>2342.908696</v>
      </c>
      <c r="F190" s="80">
        <f t="shared" si="15"/>
        <v>1967.428128</v>
      </c>
      <c r="G190" s="81">
        <f t="shared" si="16"/>
        <v>534576.5482</v>
      </c>
      <c r="H190" s="6"/>
      <c r="I190" s="6"/>
      <c r="J190" s="6"/>
      <c r="K190" s="6"/>
      <c r="L190" s="6"/>
      <c r="M190" s="6"/>
      <c r="N190" s="6"/>
      <c r="O190" s="6"/>
      <c r="P190" s="6"/>
      <c r="Q190" s="6"/>
      <c r="R190" s="6"/>
      <c r="S190" s="6"/>
      <c r="T190" s="6"/>
      <c r="U190" s="6"/>
      <c r="V190" s="6"/>
      <c r="W190" s="6"/>
      <c r="X190" s="6"/>
      <c r="Y190" s="6"/>
      <c r="Z190" s="6"/>
    </row>
    <row r="191" ht="22.5" customHeight="1">
      <c r="A191" s="84">
        <v>122.0</v>
      </c>
      <c r="B191" s="90">
        <v>49157.0</v>
      </c>
      <c r="C191" s="80">
        <f t="shared" si="17"/>
        <v>534576.5482</v>
      </c>
      <c r="D191" s="80">
        <f t="shared" si="18"/>
        <v>4310.336825</v>
      </c>
      <c r="E191" s="80">
        <f t="shared" si="14"/>
        <v>2334.317594</v>
      </c>
      <c r="F191" s="80">
        <f t="shared" si="15"/>
        <v>1976.019231</v>
      </c>
      <c r="G191" s="81">
        <f t="shared" si="16"/>
        <v>532600.5289</v>
      </c>
      <c r="H191" s="6"/>
      <c r="I191" s="6"/>
      <c r="J191" s="6"/>
      <c r="K191" s="6"/>
      <c r="L191" s="6"/>
      <c r="M191" s="6"/>
      <c r="N191" s="6"/>
      <c r="O191" s="6"/>
      <c r="P191" s="6"/>
      <c r="Q191" s="6"/>
      <c r="R191" s="6"/>
      <c r="S191" s="6"/>
      <c r="T191" s="6"/>
      <c r="U191" s="6"/>
      <c r="V191" s="6"/>
      <c r="W191" s="6"/>
      <c r="X191" s="6"/>
      <c r="Y191" s="6"/>
      <c r="Z191" s="6"/>
    </row>
    <row r="192" ht="22.5" customHeight="1">
      <c r="A192" s="84">
        <v>123.0</v>
      </c>
      <c r="B192" s="90">
        <v>49188.0</v>
      </c>
      <c r="C192" s="80">
        <f t="shared" si="17"/>
        <v>532600.5289</v>
      </c>
      <c r="D192" s="80">
        <f t="shared" si="18"/>
        <v>4310.336825</v>
      </c>
      <c r="E192" s="80">
        <f t="shared" si="14"/>
        <v>2325.688976</v>
      </c>
      <c r="F192" s="80">
        <f t="shared" si="15"/>
        <v>1984.647848</v>
      </c>
      <c r="G192" s="81">
        <f t="shared" si="16"/>
        <v>530615.8811</v>
      </c>
      <c r="H192" s="6"/>
      <c r="I192" s="6"/>
      <c r="J192" s="6"/>
      <c r="K192" s="6"/>
      <c r="L192" s="6"/>
      <c r="M192" s="6"/>
      <c r="N192" s="6"/>
      <c r="O192" s="6"/>
      <c r="P192" s="6"/>
      <c r="Q192" s="6"/>
      <c r="R192" s="6"/>
      <c r="S192" s="6"/>
      <c r="T192" s="6"/>
      <c r="U192" s="6"/>
      <c r="V192" s="6"/>
      <c r="W192" s="6"/>
      <c r="X192" s="6"/>
      <c r="Y192" s="6"/>
      <c r="Z192" s="6"/>
    </row>
    <row r="193" ht="22.5" customHeight="1">
      <c r="A193" s="84">
        <v>124.0</v>
      </c>
      <c r="B193" s="90">
        <v>49218.0</v>
      </c>
      <c r="C193" s="80">
        <f t="shared" si="17"/>
        <v>530615.8811</v>
      </c>
      <c r="D193" s="80">
        <f t="shared" si="18"/>
        <v>4310.336825</v>
      </c>
      <c r="E193" s="80">
        <f t="shared" si="14"/>
        <v>2317.022681</v>
      </c>
      <c r="F193" s="80">
        <f t="shared" si="15"/>
        <v>1993.314144</v>
      </c>
      <c r="G193" s="81">
        <f t="shared" si="16"/>
        <v>528622.5669</v>
      </c>
      <c r="H193" s="6"/>
      <c r="I193" s="6"/>
      <c r="J193" s="6"/>
      <c r="K193" s="6"/>
      <c r="L193" s="6"/>
      <c r="M193" s="6"/>
      <c r="N193" s="6"/>
      <c r="O193" s="6"/>
      <c r="P193" s="6"/>
      <c r="Q193" s="6"/>
      <c r="R193" s="6"/>
      <c r="S193" s="6"/>
      <c r="T193" s="6"/>
      <c r="U193" s="6"/>
      <c r="V193" s="6"/>
      <c r="W193" s="6"/>
      <c r="X193" s="6"/>
      <c r="Y193" s="6"/>
      <c r="Z193" s="6"/>
    </row>
    <row r="194" ht="22.5" customHeight="1">
      <c r="A194" s="84">
        <v>125.0</v>
      </c>
      <c r="B194" s="90">
        <v>49249.0</v>
      </c>
      <c r="C194" s="80">
        <f t="shared" si="17"/>
        <v>528622.5669</v>
      </c>
      <c r="D194" s="80">
        <f t="shared" si="18"/>
        <v>4310.336825</v>
      </c>
      <c r="E194" s="80">
        <f t="shared" si="14"/>
        <v>2308.318542</v>
      </c>
      <c r="F194" s="80">
        <f t="shared" si="15"/>
        <v>2002.018283</v>
      </c>
      <c r="G194" s="81">
        <f t="shared" si="16"/>
        <v>526620.5486</v>
      </c>
      <c r="H194" s="6"/>
      <c r="I194" s="6"/>
      <c r="J194" s="6"/>
      <c r="K194" s="6"/>
      <c r="L194" s="6"/>
      <c r="M194" s="6"/>
      <c r="N194" s="6"/>
      <c r="O194" s="6"/>
      <c r="P194" s="6"/>
      <c r="Q194" s="6"/>
      <c r="R194" s="6"/>
      <c r="S194" s="6"/>
      <c r="T194" s="6"/>
      <c r="U194" s="6"/>
      <c r="V194" s="6"/>
      <c r="W194" s="6"/>
      <c r="X194" s="6"/>
      <c r="Y194" s="6"/>
      <c r="Z194" s="6"/>
    </row>
    <row r="195" ht="22.5" customHeight="1">
      <c r="A195" s="84">
        <v>126.0</v>
      </c>
      <c r="B195" s="90">
        <v>49279.0</v>
      </c>
      <c r="C195" s="80">
        <f t="shared" si="17"/>
        <v>526620.5486</v>
      </c>
      <c r="D195" s="80">
        <f t="shared" si="18"/>
        <v>4310.336825</v>
      </c>
      <c r="E195" s="80">
        <f t="shared" si="14"/>
        <v>2299.576396</v>
      </c>
      <c r="F195" s="80">
        <f t="shared" si="15"/>
        <v>2010.760429</v>
      </c>
      <c r="G195" s="81">
        <f t="shared" si="16"/>
        <v>524609.7882</v>
      </c>
      <c r="H195" s="6"/>
      <c r="I195" s="6"/>
      <c r="J195" s="6"/>
      <c r="K195" s="6"/>
      <c r="L195" s="6"/>
      <c r="M195" s="6"/>
      <c r="N195" s="6"/>
      <c r="O195" s="6"/>
      <c r="P195" s="6"/>
      <c r="Q195" s="6"/>
      <c r="R195" s="6"/>
      <c r="S195" s="6"/>
      <c r="T195" s="6"/>
      <c r="U195" s="6"/>
      <c r="V195" s="6"/>
      <c r="W195" s="6"/>
      <c r="X195" s="6"/>
      <c r="Y195" s="6"/>
      <c r="Z195" s="6"/>
    </row>
    <row r="196" ht="22.5" customHeight="1">
      <c r="A196" s="84">
        <v>127.0</v>
      </c>
      <c r="B196" s="90">
        <v>49310.0</v>
      </c>
      <c r="C196" s="80">
        <f t="shared" si="17"/>
        <v>524609.7882</v>
      </c>
      <c r="D196" s="80">
        <f t="shared" si="18"/>
        <v>4310.336825</v>
      </c>
      <c r="E196" s="80">
        <f t="shared" si="14"/>
        <v>2290.796075</v>
      </c>
      <c r="F196" s="80">
        <f t="shared" si="15"/>
        <v>2019.54075</v>
      </c>
      <c r="G196" s="81">
        <f t="shared" si="16"/>
        <v>522590.2475</v>
      </c>
      <c r="H196" s="6"/>
      <c r="I196" s="6"/>
      <c r="J196" s="6"/>
      <c r="K196" s="6"/>
      <c r="L196" s="6"/>
      <c r="M196" s="6"/>
      <c r="N196" s="6"/>
      <c r="O196" s="6"/>
      <c r="P196" s="6"/>
      <c r="Q196" s="6"/>
      <c r="R196" s="6"/>
      <c r="S196" s="6"/>
      <c r="T196" s="6"/>
      <c r="U196" s="6"/>
      <c r="V196" s="6"/>
      <c r="W196" s="6"/>
      <c r="X196" s="6"/>
      <c r="Y196" s="6"/>
      <c r="Z196" s="6"/>
    </row>
    <row r="197" ht="22.5" customHeight="1">
      <c r="A197" s="84">
        <v>128.0</v>
      </c>
      <c r="B197" s="90">
        <v>49341.0</v>
      </c>
      <c r="C197" s="80">
        <f t="shared" si="17"/>
        <v>522590.2475</v>
      </c>
      <c r="D197" s="80">
        <f t="shared" si="18"/>
        <v>4310.336825</v>
      </c>
      <c r="E197" s="80">
        <f t="shared" si="14"/>
        <v>2281.977414</v>
      </c>
      <c r="F197" s="80">
        <f t="shared" si="15"/>
        <v>2028.359411</v>
      </c>
      <c r="G197" s="81">
        <f t="shared" si="16"/>
        <v>520561.8881</v>
      </c>
      <c r="H197" s="6"/>
      <c r="I197" s="6"/>
      <c r="J197" s="6"/>
      <c r="K197" s="6"/>
      <c r="L197" s="6"/>
      <c r="M197" s="6"/>
      <c r="N197" s="6"/>
      <c r="O197" s="6"/>
      <c r="P197" s="6"/>
      <c r="Q197" s="6"/>
      <c r="R197" s="6"/>
      <c r="S197" s="6"/>
      <c r="T197" s="6"/>
      <c r="U197" s="6"/>
      <c r="V197" s="6"/>
      <c r="W197" s="6"/>
      <c r="X197" s="6"/>
      <c r="Y197" s="6"/>
      <c r="Z197" s="6"/>
    </row>
    <row r="198" ht="22.5" customHeight="1">
      <c r="A198" s="84">
        <v>129.0</v>
      </c>
      <c r="B198" s="90">
        <v>49369.0</v>
      </c>
      <c r="C198" s="80">
        <f t="shared" si="17"/>
        <v>520561.8881</v>
      </c>
      <c r="D198" s="80">
        <f t="shared" si="18"/>
        <v>4310.336825</v>
      </c>
      <c r="E198" s="80">
        <f t="shared" si="14"/>
        <v>2273.120245</v>
      </c>
      <c r="F198" s="80">
        <f t="shared" si="15"/>
        <v>2037.21658</v>
      </c>
      <c r="G198" s="81">
        <f t="shared" si="16"/>
        <v>518524.6715</v>
      </c>
      <c r="H198" s="6"/>
      <c r="I198" s="6"/>
      <c r="J198" s="6"/>
      <c r="K198" s="6"/>
      <c r="L198" s="6"/>
      <c r="M198" s="6"/>
      <c r="N198" s="6"/>
      <c r="O198" s="6"/>
      <c r="P198" s="6"/>
      <c r="Q198" s="6"/>
      <c r="R198" s="6"/>
      <c r="S198" s="6"/>
      <c r="T198" s="6"/>
      <c r="U198" s="6"/>
      <c r="V198" s="6"/>
      <c r="W198" s="6"/>
      <c r="X198" s="6"/>
      <c r="Y198" s="6"/>
      <c r="Z198" s="6"/>
    </row>
    <row r="199" ht="22.5" customHeight="1">
      <c r="A199" s="84">
        <v>130.0</v>
      </c>
      <c r="B199" s="90">
        <v>49400.0</v>
      </c>
      <c r="C199" s="80">
        <f t="shared" si="17"/>
        <v>518524.6715</v>
      </c>
      <c r="D199" s="80">
        <f t="shared" si="18"/>
        <v>4310.336825</v>
      </c>
      <c r="E199" s="80">
        <f t="shared" si="14"/>
        <v>2264.224399</v>
      </c>
      <c r="F199" s="80">
        <f t="shared" si="15"/>
        <v>2046.112426</v>
      </c>
      <c r="G199" s="81">
        <f t="shared" si="16"/>
        <v>516478.5591</v>
      </c>
      <c r="H199" s="6"/>
      <c r="I199" s="6"/>
      <c r="J199" s="6"/>
      <c r="K199" s="6"/>
      <c r="L199" s="6"/>
      <c r="M199" s="6"/>
      <c r="N199" s="6"/>
      <c r="O199" s="6"/>
      <c r="P199" s="6"/>
      <c r="Q199" s="6"/>
      <c r="R199" s="6"/>
      <c r="S199" s="6"/>
      <c r="T199" s="6"/>
      <c r="U199" s="6"/>
      <c r="V199" s="6"/>
      <c r="W199" s="6"/>
      <c r="X199" s="6"/>
      <c r="Y199" s="6"/>
      <c r="Z199" s="6"/>
    </row>
    <row r="200" ht="22.5" customHeight="1">
      <c r="A200" s="84">
        <v>131.0</v>
      </c>
      <c r="B200" s="90">
        <v>49430.0</v>
      </c>
      <c r="C200" s="80">
        <f t="shared" si="17"/>
        <v>516478.5591</v>
      </c>
      <c r="D200" s="80">
        <f t="shared" si="18"/>
        <v>4310.336825</v>
      </c>
      <c r="E200" s="80">
        <f t="shared" si="14"/>
        <v>2255.289708</v>
      </c>
      <c r="F200" s="80">
        <f t="shared" si="15"/>
        <v>2055.047117</v>
      </c>
      <c r="G200" s="81">
        <f t="shared" si="16"/>
        <v>514423.5119</v>
      </c>
      <c r="H200" s="6"/>
      <c r="I200" s="6"/>
      <c r="J200" s="6"/>
      <c r="K200" s="6"/>
      <c r="L200" s="6"/>
      <c r="M200" s="6"/>
      <c r="N200" s="6"/>
      <c r="O200" s="6"/>
      <c r="P200" s="6"/>
      <c r="Q200" s="6"/>
      <c r="R200" s="6"/>
      <c r="S200" s="6"/>
      <c r="T200" s="6"/>
      <c r="U200" s="6"/>
      <c r="V200" s="6"/>
      <c r="W200" s="6"/>
      <c r="X200" s="6"/>
      <c r="Y200" s="6"/>
      <c r="Z200" s="6"/>
    </row>
    <row r="201" ht="22.5" customHeight="1">
      <c r="A201" s="84">
        <v>132.0</v>
      </c>
      <c r="B201" s="90">
        <v>49461.0</v>
      </c>
      <c r="C201" s="80">
        <f t="shared" si="17"/>
        <v>514423.5119</v>
      </c>
      <c r="D201" s="80">
        <f t="shared" si="18"/>
        <v>4310.336825</v>
      </c>
      <c r="E201" s="80">
        <f t="shared" si="14"/>
        <v>2246.316002</v>
      </c>
      <c r="F201" s="80">
        <f t="shared" si="15"/>
        <v>2064.020823</v>
      </c>
      <c r="G201" s="81">
        <f t="shared" si="16"/>
        <v>512359.4911</v>
      </c>
      <c r="H201" s="6"/>
      <c r="I201" s="6"/>
      <c r="J201" s="6"/>
      <c r="K201" s="6"/>
      <c r="L201" s="6"/>
      <c r="M201" s="6"/>
      <c r="N201" s="6"/>
      <c r="O201" s="6"/>
      <c r="P201" s="6"/>
      <c r="Q201" s="6"/>
      <c r="R201" s="6"/>
      <c r="S201" s="6"/>
      <c r="T201" s="6"/>
      <c r="U201" s="6"/>
      <c r="V201" s="6"/>
      <c r="W201" s="6"/>
      <c r="X201" s="6"/>
      <c r="Y201" s="6"/>
      <c r="Z201" s="6"/>
    </row>
    <row r="202" ht="22.5" customHeight="1">
      <c r="A202" s="84">
        <v>133.0</v>
      </c>
      <c r="B202" s="90">
        <v>49491.0</v>
      </c>
      <c r="C202" s="80">
        <f t="shared" si="17"/>
        <v>512359.4911</v>
      </c>
      <c r="D202" s="80">
        <f t="shared" si="18"/>
        <v>4310.336825</v>
      </c>
      <c r="E202" s="80">
        <f t="shared" si="14"/>
        <v>2237.303111</v>
      </c>
      <c r="F202" s="80">
        <f t="shared" si="15"/>
        <v>2073.033714</v>
      </c>
      <c r="G202" s="81">
        <f t="shared" si="16"/>
        <v>510286.4574</v>
      </c>
      <c r="H202" s="6"/>
      <c r="I202" s="6"/>
      <c r="J202" s="6"/>
      <c r="K202" s="6"/>
      <c r="L202" s="6"/>
      <c r="M202" s="6"/>
      <c r="N202" s="6"/>
      <c r="O202" s="6"/>
      <c r="P202" s="6"/>
      <c r="Q202" s="6"/>
      <c r="R202" s="6"/>
      <c r="S202" s="6"/>
      <c r="T202" s="6"/>
      <c r="U202" s="6"/>
      <c r="V202" s="6"/>
      <c r="W202" s="6"/>
      <c r="X202" s="6"/>
      <c r="Y202" s="6"/>
      <c r="Z202" s="6"/>
    </row>
    <row r="203" ht="22.5" customHeight="1">
      <c r="A203" s="84">
        <v>134.0</v>
      </c>
      <c r="B203" s="90">
        <v>49522.0</v>
      </c>
      <c r="C203" s="80">
        <f t="shared" si="17"/>
        <v>510286.4574</v>
      </c>
      <c r="D203" s="80">
        <f t="shared" si="18"/>
        <v>4310.336825</v>
      </c>
      <c r="E203" s="80">
        <f t="shared" si="14"/>
        <v>2228.250864</v>
      </c>
      <c r="F203" s="80">
        <f t="shared" si="15"/>
        <v>2082.085961</v>
      </c>
      <c r="G203" s="81">
        <f t="shared" si="16"/>
        <v>508204.3714</v>
      </c>
      <c r="H203" s="6"/>
      <c r="I203" s="6"/>
      <c r="J203" s="6"/>
      <c r="K203" s="6"/>
      <c r="L203" s="6"/>
      <c r="M203" s="6"/>
      <c r="N203" s="6"/>
      <c r="O203" s="6"/>
      <c r="P203" s="6"/>
      <c r="Q203" s="6"/>
      <c r="R203" s="6"/>
      <c r="S203" s="6"/>
      <c r="T203" s="6"/>
      <c r="U203" s="6"/>
      <c r="V203" s="6"/>
      <c r="W203" s="6"/>
      <c r="X203" s="6"/>
      <c r="Y203" s="6"/>
      <c r="Z203" s="6"/>
    </row>
    <row r="204" ht="22.5" customHeight="1">
      <c r="A204" s="84">
        <v>135.0</v>
      </c>
      <c r="B204" s="90">
        <v>49553.0</v>
      </c>
      <c r="C204" s="80">
        <f t="shared" si="17"/>
        <v>508204.3714</v>
      </c>
      <c r="D204" s="80">
        <f t="shared" si="18"/>
        <v>4310.336825</v>
      </c>
      <c r="E204" s="80">
        <f t="shared" si="14"/>
        <v>2219.159089</v>
      </c>
      <c r="F204" s="80">
        <f t="shared" si="15"/>
        <v>2091.177736</v>
      </c>
      <c r="G204" s="81">
        <f t="shared" si="16"/>
        <v>506113.1937</v>
      </c>
      <c r="H204" s="6"/>
      <c r="I204" s="6"/>
      <c r="J204" s="6"/>
      <c r="K204" s="6"/>
      <c r="L204" s="6"/>
      <c r="M204" s="6"/>
      <c r="N204" s="6"/>
      <c r="O204" s="6"/>
      <c r="P204" s="6"/>
      <c r="Q204" s="6"/>
      <c r="R204" s="6"/>
      <c r="S204" s="6"/>
      <c r="T204" s="6"/>
      <c r="U204" s="6"/>
      <c r="V204" s="6"/>
      <c r="W204" s="6"/>
      <c r="X204" s="6"/>
      <c r="Y204" s="6"/>
      <c r="Z204" s="6"/>
    </row>
    <row r="205" ht="22.5" customHeight="1">
      <c r="A205" s="84">
        <v>136.0</v>
      </c>
      <c r="B205" s="90">
        <v>49583.0</v>
      </c>
      <c r="C205" s="80">
        <f t="shared" si="17"/>
        <v>506113.1937</v>
      </c>
      <c r="D205" s="80">
        <f t="shared" si="18"/>
        <v>4310.336825</v>
      </c>
      <c r="E205" s="80">
        <f t="shared" si="14"/>
        <v>2210.027613</v>
      </c>
      <c r="F205" s="80">
        <f t="shared" si="15"/>
        <v>2100.309212</v>
      </c>
      <c r="G205" s="81">
        <f t="shared" si="16"/>
        <v>504012.8845</v>
      </c>
      <c r="H205" s="6"/>
      <c r="I205" s="6"/>
      <c r="J205" s="6"/>
      <c r="K205" s="6"/>
      <c r="L205" s="6"/>
      <c r="M205" s="6"/>
      <c r="N205" s="6"/>
      <c r="O205" s="6"/>
      <c r="P205" s="6"/>
      <c r="Q205" s="6"/>
      <c r="R205" s="6"/>
      <c r="S205" s="6"/>
      <c r="T205" s="6"/>
      <c r="U205" s="6"/>
      <c r="V205" s="6"/>
      <c r="W205" s="6"/>
      <c r="X205" s="6"/>
      <c r="Y205" s="6"/>
      <c r="Z205" s="6"/>
    </row>
    <row r="206" ht="22.5" customHeight="1">
      <c r="A206" s="84">
        <v>137.0</v>
      </c>
      <c r="B206" s="90">
        <v>49614.0</v>
      </c>
      <c r="C206" s="80">
        <f t="shared" si="17"/>
        <v>504012.8845</v>
      </c>
      <c r="D206" s="80">
        <f t="shared" si="18"/>
        <v>4310.336825</v>
      </c>
      <c r="E206" s="80">
        <f t="shared" si="14"/>
        <v>2200.856262</v>
      </c>
      <c r="F206" s="80">
        <f t="shared" si="15"/>
        <v>2109.480563</v>
      </c>
      <c r="G206" s="81">
        <f t="shared" si="16"/>
        <v>501903.4039</v>
      </c>
      <c r="H206" s="6"/>
      <c r="I206" s="6"/>
      <c r="J206" s="6"/>
      <c r="K206" s="6"/>
      <c r="L206" s="6"/>
      <c r="M206" s="6"/>
      <c r="N206" s="6"/>
      <c r="O206" s="6"/>
      <c r="P206" s="6"/>
      <c r="Q206" s="6"/>
      <c r="R206" s="6"/>
      <c r="S206" s="6"/>
      <c r="T206" s="6"/>
      <c r="U206" s="6"/>
      <c r="V206" s="6"/>
      <c r="W206" s="6"/>
      <c r="X206" s="6"/>
      <c r="Y206" s="6"/>
      <c r="Z206" s="6"/>
    </row>
    <row r="207" ht="22.5" customHeight="1">
      <c r="A207" s="84">
        <v>138.0</v>
      </c>
      <c r="B207" s="90">
        <v>49644.0</v>
      </c>
      <c r="C207" s="80">
        <f t="shared" si="17"/>
        <v>501903.4039</v>
      </c>
      <c r="D207" s="80">
        <f t="shared" si="18"/>
        <v>4310.336825</v>
      </c>
      <c r="E207" s="80">
        <f t="shared" si="14"/>
        <v>2191.644864</v>
      </c>
      <c r="F207" s="80">
        <f t="shared" si="15"/>
        <v>2118.691961</v>
      </c>
      <c r="G207" s="81">
        <f t="shared" si="16"/>
        <v>499784.712</v>
      </c>
      <c r="H207" s="6"/>
      <c r="I207" s="6"/>
      <c r="J207" s="6"/>
      <c r="K207" s="6"/>
      <c r="L207" s="6"/>
      <c r="M207" s="6"/>
      <c r="N207" s="6"/>
      <c r="O207" s="6"/>
      <c r="P207" s="6"/>
      <c r="Q207" s="6"/>
      <c r="R207" s="6"/>
      <c r="S207" s="6"/>
      <c r="T207" s="6"/>
      <c r="U207" s="6"/>
      <c r="V207" s="6"/>
      <c r="W207" s="6"/>
      <c r="X207" s="6"/>
      <c r="Y207" s="6"/>
      <c r="Z207" s="6"/>
    </row>
    <row r="208" ht="22.5" customHeight="1">
      <c r="A208" s="84">
        <v>139.0</v>
      </c>
      <c r="B208" s="90">
        <v>49675.0</v>
      </c>
      <c r="C208" s="80">
        <f t="shared" si="17"/>
        <v>499784.712</v>
      </c>
      <c r="D208" s="80">
        <f t="shared" si="18"/>
        <v>4310.336825</v>
      </c>
      <c r="E208" s="80">
        <f t="shared" si="14"/>
        <v>2182.393242</v>
      </c>
      <c r="F208" s="80">
        <f t="shared" si="15"/>
        <v>2127.943583</v>
      </c>
      <c r="G208" s="81">
        <f t="shared" si="16"/>
        <v>497656.7684</v>
      </c>
      <c r="H208" s="6"/>
      <c r="I208" s="6"/>
      <c r="J208" s="6"/>
      <c r="K208" s="6"/>
      <c r="L208" s="6"/>
      <c r="M208" s="6"/>
      <c r="N208" s="6"/>
      <c r="O208" s="6"/>
      <c r="P208" s="6"/>
      <c r="Q208" s="6"/>
      <c r="R208" s="6"/>
      <c r="S208" s="6"/>
      <c r="T208" s="6"/>
      <c r="U208" s="6"/>
      <c r="V208" s="6"/>
      <c r="W208" s="6"/>
      <c r="X208" s="6"/>
      <c r="Y208" s="6"/>
      <c r="Z208" s="6"/>
    </row>
    <row r="209" ht="22.5" customHeight="1">
      <c r="A209" s="84">
        <v>140.0</v>
      </c>
      <c r="B209" s="90">
        <v>49706.0</v>
      </c>
      <c r="C209" s="80">
        <f t="shared" si="17"/>
        <v>497656.7684</v>
      </c>
      <c r="D209" s="80">
        <f t="shared" si="18"/>
        <v>4310.336825</v>
      </c>
      <c r="E209" s="80">
        <f t="shared" si="14"/>
        <v>2173.101222</v>
      </c>
      <c r="F209" s="80">
        <f t="shared" si="15"/>
        <v>2137.235603</v>
      </c>
      <c r="G209" s="81">
        <f t="shared" si="16"/>
        <v>495519.5328</v>
      </c>
      <c r="H209" s="6"/>
      <c r="I209" s="6"/>
      <c r="J209" s="6"/>
      <c r="K209" s="6"/>
      <c r="L209" s="6"/>
      <c r="M209" s="6"/>
      <c r="N209" s="6"/>
      <c r="O209" s="6"/>
      <c r="P209" s="6"/>
      <c r="Q209" s="6"/>
      <c r="R209" s="6"/>
      <c r="S209" s="6"/>
      <c r="T209" s="6"/>
      <c r="U209" s="6"/>
      <c r="V209" s="6"/>
      <c r="W209" s="6"/>
      <c r="X209" s="6"/>
      <c r="Y209" s="6"/>
      <c r="Z209" s="6"/>
    </row>
    <row r="210" ht="22.5" customHeight="1">
      <c r="A210" s="84">
        <v>141.0</v>
      </c>
      <c r="B210" s="90">
        <v>49735.0</v>
      </c>
      <c r="C210" s="80">
        <f t="shared" si="17"/>
        <v>495519.5328</v>
      </c>
      <c r="D210" s="80">
        <f t="shared" si="18"/>
        <v>4310.336825</v>
      </c>
      <c r="E210" s="80">
        <f t="shared" si="14"/>
        <v>2163.768626</v>
      </c>
      <c r="F210" s="80">
        <f t="shared" si="15"/>
        <v>2146.568198</v>
      </c>
      <c r="G210" s="81">
        <f t="shared" si="16"/>
        <v>493372.9646</v>
      </c>
      <c r="H210" s="6"/>
      <c r="I210" s="6"/>
      <c r="J210" s="6"/>
      <c r="K210" s="6"/>
      <c r="L210" s="6"/>
      <c r="M210" s="6"/>
      <c r="N210" s="6"/>
      <c r="O210" s="6"/>
      <c r="P210" s="6"/>
      <c r="Q210" s="6"/>
      <c r="R210" s="6"/>
      <c r="S210" s="6"/>
      <c r="T210" s="6"/>
      <c r="U210" s="6"/>
      <c r="V210" s="6"/>
      <c r="W210" s="6"/>
      <c r="X210" s="6"/>
      <c r="Y210" s="6"/>
      <c r="Z210" s="6"/>
    </row>
    <row r="211" ht="22.5" customHeight="1">
      <c r="A211" s="84">
        <v>142.0</v>
      </c>
      <c r="B211" s="90">
        <v>49766.0</v>
      </c>
      <c r="C211" s="80">
        <f t="shared" si="17"/>
        <v>493372.9646</v>
      </c>
      <c r="D211" s="80">
        <f t="shared" si="18"/>
        <v>4310.336825</v>
      </c>
      <c r="E211" s="80">
        <f t="shared" si="14"/>
        <v>2154.395279</v>
      </c>
      <c r="F211" s="80">
        <f t="shared" si="15"/>
        <v>2155.941546</v>
      </c>
      <c r="G211" s="81">
        <f t="shared" si="16"/>
        <v>491217.023</v>
      </c>
      <c r="H211" s="6"/>
      <c r="I211" s="6"/>
      <c r="J211" s="6"/>
      <c r="K211" s="6"/>
      <c r="L211" s="6"/>
      <c r="M211" s="6"/>
      <c r="N211" s="6"/>
      <c r="O211" s="6"/>
      <c r="P211" s="6"/>
      <c r="Q211" s="6"/>
      <c r="R211" s="6"/>
      <c r="S211" s="6"/>
      <c r="T211" s="6"/>
      <c r="U211" s="6"/>
      <c r="V211" s="6"/>
      <c r="W211" s="6"/>
      <c r="X211" s="6"/>
      <c r="Y211" s="6"/>
      <c r="Z211" s="6"/>
    </row>
    <row r="212" ht="22.5" customHeight="1">
      <c r="A212" s="84">
        <v>143.0</v>
      </c>
      <c r="B212" s="90">
        <v>49796.0</v>
      </c>
      <c r="C212" s="80">
        <f t="shared" si="17"/>
        <v>491217.023</v>
      </c>
      <c r="D212" s="80">
        <f t="shared" si="18"/>
        <v>4310.336825</v>
      </c>
      <c r="E212" s="80">
        <f t="shared" si="14"/>
        <v>2144.981001</v>
      </c>
      <c r="F212" s="80">
        <f t="shared" si="15"/>
        <v>2165.355824</v>
      </c>
      <c r="G212" s="81">
        <f t="shared" si="16"/>
        <v>489051.6672</v>
      </c>
      <c r="H212" s="6"/>
      <c r="I212" s="6"/>
      <c r="J212" s="6"/>
      <c r="K212" s="6"/>
      <c r="L212" s="6"/>
      <c r="M212" s="6"/>
      <c r="N212" s="6"/>
      <c r="O212" s="6"/>
      <c r="P212" s="6"/>
      <c r="Q212" s="6"/>
      <c r="R212" s="6"/>
      <c r="S212" s="6"/>
      <c r="T212" s="6"/>
      <c r="U212" s="6"/>
      <c r="V212" s="6"/>
      <c r="W212" s="6"/>
      <c r="X212" s="6"/>
      <c r="Y212" s="6"/>
      <c r="Z212" s="6"/>
    </row>
    <row r="213" ht="22.5" customHeight="1">
      <c r="A213" s="84">
        <v>144.0</v>
      </c>
      <c r="B213" s="90">
        <v>49827.0</v>
      </c>
      <c r="C213" s="80">
        <f t="shared" si="17"/>
        <v>489051.6672</v>
      </c>
      <c r="D213" s="80">
        <f t="shared" si="18"/>
        <v>4310.336825</v>
      </c>
      <c r="E213" s="80">
        <f t="shared" si="14"/>
        <v>2135.525614</v>
      </c>
      <c r="F213" s="80">
        <f t="shared" si="15"/>
        <v>2174.811211</v>
      </c>
      <c r="G213" s="81">
        <f t="shared" si="16"/>
        <v>486876.856</v>
      </c>
      <c r="H213" s="6"/>
      <c r="I213" s="6"/>
      <c r="J213" s="6"/>
      <c r="K213" s="6"/>
      <c r="L213" s="6"/>
      <c r="M213" s="6"/>
      <c r="N213" s="6"/>
      <c r="O213" s="6"/>
      <c r="P213" s="6"/>
      <c r="Q213" s="6"/>
      <c r="R213" s="6"/>
      <c r="S213" s="6"/>
      <c r="T213" s="6"/>
      <c r="U213" s="6"/>
      <c r="V213" s="6"/>
      <c r="W213" s="6"/>
      <c r="X213" s="6"/>
      <c r="Y213" s="6"/>
      <c r="Z213" s="6"/>
    </row>
    <row r="214" ht="22.5" customHeight="1">
      <c r="A214" s="84">
        <v>145.0</v>
      </c>
      <c r="B214" s="90">
        <v>49857.0</v>
      </c>
      <c r="C214" s="80">
        <f t="shared" si="17"/>
        <v>486876.856</v>
      </c>
      <c r="D214" s="80">
        <f t="shared" si="18"/>
        <v>4310.336825</v>
      </c>
      <c r="E214" s="80">
        <f t="shared" si="14"/>
        <v>2126.028938</v>
      </c>
      <c r="F214" s="80">
        <f t="shared" si="15"/>
        <v>2184.307887</v>
      </c>
      <c r="G214" s="81">
        <f t="shared" si="16"/>
        <v>484692.5481</v>
      </c>
      <c r="H214" s="6"/>
      <c r="I214" s="6"/>
      <c r="J214" s="6"/>
      <c r="K214" s="6"/>
      <c r="L214" s="6"/>
      <c r="M214" s="6"/>
      <c r="N214" s="6"/>
      <c r="O214" s="6"/>
      <c r="P214" s="6"/>
      <c r="Q214" s="6"/>
      <c r="R214" s="6"/>
      <c r="S214" s="6"/>
      <c r="T214" s="6"/>
      <c r="U214" s="6"/>
      <c r="V214" s="6"/>
      <c r="W214" s="6"/>
      <c r="X214" s="6"/>
      <c r="Y214" s="6"/>
      <c r="Z214" s="6"/>
    </row>
    <row r="215" ht="22.5" customHeight="1">
      <c r="A215" s="84">
        <v>146.0</v>
      </c>
      <c r="B215" s="90">
        <v>49888.0</v>
      </c>
      <c r="C215" s="80">
        <f t="shared" si="17"/>
        <v>484692.5481</v>
      </c>
      <c r="D215" s="80">
        <f t="shared" si="18"/>
        <v>4310.336825</v>
      </c>
      <c r="E215" s="80">
        <f t="shared" si="14"/>
        <v>2116.490793</v>
      </c>
      <c r="F215" s="80">
        <f t="shared" si="15"/>
        <v>2193.846031</v>
      </c>
      <c r="G215" s="81">
        <f t="shared" si="16"/>
        <v>482498.7021</v>
      </c>
      <c r="H215" s="6"/>
      <c r="I215" s="6"/>
      <c r="J215" s="6"/>
      <c r="K215" s="6"/>
      <c r="L215" s="6"/>
      <c r="M215" s="6"/>
      <c r="N215" s="6"/>
      <c r="O215" s="6"/>
      <c r="P215" s="6"/>
      <c r="Q215" s="6"/>
      <c r="R215" s="6"/>
      <c r="S215" s="6"/>
      <c r="T215" s="6"/>
      <c r="U215" s="6"/>
      <c r="V215" s="6"/>
      <c r="W215" s="6"/>
      <c r="X215" s="6"/>
      <c r="Y215" s="6"/>
      <c r="Z215" s="6"/>
    </row>
    <row r="216" ht="22.5" customHeight="1">
      <c r="A216" s="84">
        <v>147.0</v>
      </c>
      <c r="B216" s="90">
        <v>49919.0</v>
      </c>
      <c r="C216" s="80">
        <f t="shared" si="17"/>
        <v>482498.7021</v>
      </c>
      <c r="D216" s="80">
        <f t="shared" si="18"/>
        <v>4310.336825</v>
      </c>
      <c r="E216" s="80">
        <f t="shared" si="14"/>
        <v>2106.910999</v>
      </c>
      <c r="F216" s="80">
        <f t="shared" si="15"/>
        <v>2203.425826</v>
      </c>
      <c r="G216" s="81">
        <f t="shared" si="16"/>
        <v>480295.2763</v>
      </c>
      <c r="H216" s="6"/>
      <c r="I216" s="6"/>
      <c r="J216" s="6"/>
      <c r="K216" s="6"/>
      <c r="L216" s="6"/>
      <c r="M216" s="6"/>
      <c r="N216" s="6"/>
      <c r="O216" s="6"/>
      <c r="P216" s="6"/>
      <c r="Q216" s="6"/>
      <c r="R216" s="6"/>
      <c r="S216" s="6"/>
      <c r="T216" s="6"/>
      <c r="U216" s="6"/>
      <c r="V216" s="6"/>
      <c r="W216" s="6"/>
      <c r="X216" s="6"/>
      <c r="Y216" s="6"/>
      <c r="Z216" s="6"/>
    </row>
    <row r="217" ht="22.5" customHeight="1">
      <c r="A217" s="84">
        <v>148.0</v>
      </c>
      <c r="B217" s="90">
        <v>49949.0</v>
      </c>
      <c r="C217" s="80">
        <f t="shared" si="17"/>
        <v>480295.2763</v>
      </c>
      <c r="D217" s="80">
        <f t="shared" si="18"/>
        <v>4310.336825</v>
      </c>
      <c r="E217" s="80">
        <f t="shared" si="14"/>
        <v>2097.289373</v>
      </c>
      <c r="F217" s="80">
        <f t="shared" si="15"/>
        <v>2213.047452</v>
      </c>
      <c r="G217" s="81">
        <f t="shared" si="16"/>
        <v>478082.2288</v>
      </c>
      <c r="H217" s="6"/>
      <c r="I217" s="6"/>
      <c r="J217" s="6"/>
      <c r="K217" s="6"/>
      <c r="L217" s="6"/>
      <c r="M217" s="6"/>
      <c r="N217" s="6"/>
      <c r="O217" s="6"/>
      <c r="P217" s="6"/>
      <c r="Q217" s="6"/>
      <c r="R217" s="6"/>
      <c r="S217" s="6"/>
      <c r="T217" s="6"/>
      <c r="U217" s="6"/>
      <c r="V217" s="6"/>
      <c r="W217" s="6"/>
      <c r="X217" s="6"/>
      <c r="Y217" s="6"/>
      <c r="Z217" s="6"/>
    </row>
    <row r="218" ht="22.5" customHeight="1">
      <c r="A218" s="84">
        <v>149.0</v>
      </c>
      <c r="B218" s="90">
        <v>49980.0</v>
      </c>
      <c r="C218" s="80">
        <f t="shared" si="17"/>
        <v>478082.2288</v>
      </c>
      <c r="D218" s="80">
        <f t="shared" si="18"/>
        <v>4310.336825</v>
      </c>
      <c r="E218" s="80">
        <f t="shared" si="14"/>
        <v>2087.625732</v>
      </c>
      <c r="F218" s="80">
        <f t="shared" si="15"/>
        <v>2222.711092</v>
      </c>
      <c r="G218" s="81">
        <f t="shared" si="16"/>
        <v>475859.5177</v>
      </c>
      <c r="H218" s="6"/>
      <c r="I218" s="6"/>
      <c r="J218" s="6"/>
      <c r="K218" s="6"/>
      <c r="L218" s="6"/>
      <c r="M218" s="6"/>
      <c r="N218" s="6"/>
      <c r="O218" s="6"/>
      <c r="P218" s="6"/>
      <c r="Q218" s="6"/>
      <c r="R218" s="6"/>
      <c r="S218" s="6"/>
      <c r="T218" s="6"/>
      <c r="U218" s="6"/>
      <c r="V218" s="6"/>
      <c r="W218" s="6"/>
      <c r="X218" s="6"/>
      <c r="Y218" s="6"/>
      <c r="Z218" s="6"/>
    </row>
    <row r="219" ht="22.5" customHeight="1">
      <c r="A219" s="84">
        <v>150.0</v>
      </c>
      <c r="B219" s="90">
        <v>50010.0</v>
      </c>
      <c r="C219" s="80">
        <f t="shared" si="17"/>
        <v>475859.5177</v>
      </c>
      <c r="D219" s="80">
        <f t="shared" si="18"/>
        <v>4310.336825</v>
      </c>
      <c r="E219" s="80">
        <f t="shared" si="14"/>
        <v>2077.919894</v>
      </c>
      <c r="F219" s="80">
        <f t="shared" si="15"/>
        <v>2232.416931</v>
      </c>
      <c r="G219" s="81">
        <f t="shared" si="16"/>
        <v>473627.1008</v>
      </c>
      <c r="H219" s="6"/>
      <c r="I219" s="6"/>
      <c r="J219" s="6"/>
      <c r="K219" s="6"/>
      <c r="L219" s="6"/>
      <c r="M219" s="6"/>
      <c r="N219" s="6"/>
      <c r="O219" s="6"/>
      <c r="P219" s="6"/>
      <c r="Q219" s="6"/>
      <c r="R219" s="6"/>
      <c r="S219" s="6"/>
      <c r="T219" s="6"/>
      <c r="U219" s="6"/>
      <c r="V219" s="6"/>
      <c r="W219" s="6"/>
      <c r="X219" s="6"/>
      <c r="Y219" s="6"/>
      <c r="Z219" s="6"/>
    </row>
    <row r="220" ht="22.5" customHeight="1">
      <c r="A220" s="84">
        <v>151.0</v>
      </c>
      <c r="B220" s="90">
        <v>50041.0</v>
      </c>
      <c r="C220" s="80">
        <f t="shared" si="17"/>
        <v>473627.1008</v>
      </c>
      <c r="D220" s="80">
        <f t="shared" si="18"/>
        <v>4310.336825</v>
      </c>
      <c r="E220" s="80">
        <f t="shared" si="14"/>
        <v>2068.171673</v>
      </c>
      <c r="F220" s="80">
        <f t="shared" si="15"/>
        <v>2242.165151</v>
      </c>
      <c r="G220" s="81">
        <f t="shared" si="16"/>
        <v>471384.9356</v>
      </c>
      <c r="H220" s="6"/>
      <c r="I220" s="6"/>
      <c r="J220" s="6"/>
      <c r="K220" s="6"/>
      <c r="L220" s="6"/>
      <c r="M220" s="6"/>
      <c r="N220" s="6"/>
      <c r="O220" s="6"/>
      <c r="P220" s="6"/>
      <c r="Q220" s="6"/>
      <c r="R220" s="6"/>
      <c r="S220" s="6"/>
      <c r="T220" s="6"/>
      <c r="U220" s="6"/>
      <c r="V220" s="6"/>
      <c r="W220" s="6"/>
      <c r="X220" s="6"/>
      <c r="Y220" s="6"/>
      <c r="Z220" s="6"/>
    </row>
    <row r="221" ht="22.5" customHeight="1">
      <c r="A221" s="84">
        <v>152.0</v>
      </c>
      <c r="B221" s="90">
        <v>50072.0</v>
      </c>
      <c r="C221" s="80">
        <f t="shared" si="17"/>
        <v>471384.9356</v>
      </c>
      <c r="D221" s="80">
        <f t="shared" si="18"/>
        <v>4310.336825</v>
      </c>
      <c r="E221" s="80">
        <f t="shared" si="14"/>
        <v>2058.380886</v>
      </c>
      <c r="F221" s="80">
        <f t="shared" si="15"/>
        <v>2251.955939</v>
      </c>
      <c r="G221" s="81">
        <f t="shared" si="16"/>
        <v>469132.9797</v>
      </c>
      <c r="H221" s="6"/>
      <c r="I221" s="6"/>
      <c r="J221" s="6"/>
      <c r="K221" s="6"/>
      <c r="L221" s="6"/>
      <c r="M221" s="6"/>
      <c r="N221" s="6"/>
      <c r="O221" s="6"/>
      <c r="P221" s="6"/>
      <c r="Q221" s="6"/>
      <c r="R221" s="6"/>
      <c r="S221" s="6"/>
      <c r="T221" s="6"/>
      <c r="U221" s="6"/>
      <c r="V221" s="6"/>
      <c r="W221" s="6"/>
      <c r="X221" s="6"/>
      <c r="Y221" s="6"/>
      <c r="Z221" s="6"/>
    </row>
    <row r="222" ht="22.5" customHeight="1">
      <c r="A222" s="84">
        <v>153.0</v>
      </c>
      <c r="B222" s="90">
        <v>50100.0</v>
      </c>
      <c r="C222" s="80">
        <f t="shared" si="17"/>
        <v>469132.9797</v>
      </c>
      <c r="D222" s="80">
        <f t="shared" si="18"/>
        <v>4310.336825</v>
      </c>
      <c r="E222" s="80">
        <f t="shared" si="14"/>
        <v>2048.547345</v>
      </c>
      <c r="F222" s="80">
        <f t="shared" si="15"/>
        <v>2261.78948</v>
      </c>
      <c r="G222" s="81">
        <f t="shared" si="16"/>
        <v>466871.1902</v>
      </c>
      <c r="H222" s="6"/>
      <c r="I222" s="6"/>
      <c r="J222" s="6"/>
      <c r="K222" s="6"/>
      <c r="L222" s="6"/>
      <c r="M222" s="6"/>
      <c r="N222" s="6"/>
      <c r="O222" s="6"/>
      <c r="P222" s="6"/>
      <c r="Q222" s="6"/>
      <c r="R222" s="6"/>
      <c r="S222" s="6"/>
      <c r="T222" s="6"/>
      <c r="U222" s="6"/>
      <c r="V222" s="6"/>
      <c r="W222" s="6"/>
      <c r="X222" s="6"/>
      <c r="Y222" s="6"/>
      <c r="Z222" s="6"/>
    </row>
    <row r="223" ht="22.5" customHeight="1">
      <c r="A223" s="84">
        <v>154.0</v>
      </c>
      <c r="B223" s="90">
        <v>50131.0</v>
      </c>
      <c r="C223" s="80">
        <f t="shared" si="17"/>
        <v>466871.1902</v>
      </c>
      <c r="D223" s="80">
        <f t="shared" si="18"/>
        <v>4310.336825</v>
      </c>
      <c r="E223" s="80">
        <f t="shared" si="14"/>
        <v>2038.670864</v>
      </c>
      <c r="F223" s="80">
        <f t="shared" si="15"/>
        <v>2271.665961</v>
      </c>
      <c r="G223" s="81">
        <f t="shared" si="16"/>
        <v>464599.5243</v>
      </c>
      <c r="H223" s="6"/>
      <c r="I223" s="6"/>
      <c r="J223" s="6"/>
      <c r="K223" s="6"/>
      <c r="L223" s="6"/>
      <c r="M223" s="6"/>
      <c r="N223" s="6"/>
      <c r="O223" s="6"/>
      <c r="P223" s="6"/>
      <c r="Q223" s="6"/>
      <c r="R223" s="6"/>
      <c r="S223" s="6"/>
      <c r="T223" s="6"/>
      <c r="U223" s="6"/>
      <c r="V223" s="6"/>
      <c r="W223" s="6"/>
      <c r="X223" s="6"/>
      <c r="Y223" s="6"/>
      <c r="Z223" s="6"/>
    </row>
    <row r="224" ht="22.5" customHeight="1">
      <c r="A224" s="84">
        <v>155.0</v>
      </c>
      <c r="B224" s="90">
        <v>50161.0</v>
      </c>
      <c r="C224" s="80">
        <f t="shared" si="17"/>
        <v>464599.5243</v>
      </c>
      <c r="D224" s="80">
        <f t="shared" si="18"/>
        <v>4310.336825</v>
      </c>
      <c r="E224" s="80">
        <f t="shared" si="14"/>
        <v>2028.751256</v>
      </c>
      <c r="F224" s="80">
        <f t="shared" si="15"/>
        <v>2281.585569</v>
      </c>
      <c r="G224" s="81">
        <f t="shared" si="16"/>
        <v>462317.9387</v>
      </c>
      <c r="H224" s="6"/>
      <c r="I224" s="6"/>
      <c r="J224" s="6"/>
      <c r="K224" s="6"/>
      <c r="L224" s="6"/>
      <c r="M224" s="6"/>
      <c r="N224" s="6"/>
      <c r="O224" s="6"/>
      <c r="P224" s="6"/>
      <c r="Q224" s="6"/>
      <c r="R224" s="6"/>
      <c r="S224" s="6"/>
      <c r="T224" s="6"/>
      <c r="U224" s="6"/>
      <c r="V224" s="6"/>
      <c r="W224" s="6"/>
      <c r="X224" s="6"/>
      <c r="Y224" s="6"/>
      <c r="Z224" s="6"/>
    </row>
    <row r="225" ht="22.5" customHeight="1">
      <c r="A225" s="84">
        <v>156.0</v>
      </c>
      <c r="B225" s="90">
        <v>50192.0</v>
      </c>
      <c r="C225" s="80">
        <f t="shared" si="17"/>
        <v>462317.9387</v>
      </c>
      <c r="D225" s="80">
        <f t="shared" si="18"/>
        <v>4310.336825</v>
      </c>
      <c r="E225" s="80">
        <f t="shared" si="14"/>
        <v>2018.788332</v>
      </c>
      <c r="F225" s="80">
        <f t="shared" si="15"/>
        <v>2291.548493</v>
      </c>
      <c r="G225" s="81">
        <f t="shared" si="16"/>
        <v>460026.3902</v>
      </c>
      <c r="H225" s="6"/>
      <c r="I225" s="6"/>
      <c r="J225" s="6"/>
      <c r="K225" s="6"/>
      <c r="L225" s="6"/>
      <c r="M225" s="6"/>
      <c r="N225" s="6"/>
      <c r="O225" s="6"/>
      <c r="P225" s="6"/>
      <c r="Q225" s="6"/>
      <c r="R225" s="6"/>
      <c r="S225" s="6"/>
      <c r="T225" s="6"/>
      <c r="U225" s="6"/>
      <c r="V225" s="6"/>
      <c r="W225" s="6"/>
      <c r="X225" s="6"/>
      <c r="Y225" s="6"/>
      <c r="Z225" s="6"/>
    </row>
    <row r="226" ht="22.5" customHeight="1">
      <c r="A226" s="84">
        <v>157.0</v>
      </c>
      <c r="B226" s="90">
        <v>50222.0</v>
      </c>
      <c r="C226" s="80">
        <f t="shared" si="17"/>
        <v>460026.3902</v>
      </c>
      <c r="D226" s="80">
        <f t="shared" si="18"/>
        <v>4310.336825</v>
      </c>
      <c r="E226" s="80">
        <f t="shared" si="14"/>
        <v>2008.781904</v>
      </c>
      <c r="F226" s="80">
        <f t="shared" si="15"/>
        <v>2301.554921</v>
      </c>
      <c r="G226" s="81">
        <f t="shared" si="16"/>
        <v>457724.8353</v>
      </c>
      <c r="H226" s="6"/>
      <c r="I226" s="6"/>
      <c r="J226" s="6"/>
      <c r="K226" s="6"/>
      <c r="L226" s="6"/>
      <c r="M226" s="6"/>
      <c r="N226" s="6"/>
      <c r="O226" s="6"/>
      <c r="P226" s="6"/>
      <c r="Q226" s="6"/>
      <c r="R226" s="6"/>
      <c r="S226" s="6"/>
      <c r="T226" s="6"/>
      <c r="U226" s="6"/>
      <c r="V226" s="6"/>
      <c r="W226" s="6"/>
      <c r="X226" s="6"/>
      <c r="Y226" s="6"/>
      <c r="Z226" s="6"/>
    </row>
    <row r="227" ht="22.5" customHeight="1">
      <c r="A227" s="84">
        <v>158.0</v>
      </c>
      <c r="B227" s="90">
        <v>50253.0</v>
      </c>
      <c r="C227" s="80">
        <f t="shared" si="17"/>
        <v>457724.8353</v>
      </c>
      <c r="D227" s="80">
        <f t="shared" si="18"/>
        <v>4310.336825</v>
      </c>
      <c r="E227" s="80">
        <f t="shared" si="14"/>
        <v>1998.731781</v>
      </c>
      <c r="F227" s="80">
        <f t="shared" si="15"/>
        <v>2311.605044</v>
      </c>
      <c r="G227" s="81">
        <f t="shared" si="16"/>
        <v>455413.2302</v>
      </c>
      <c r="H227" s="6"/>
      <c r="I227" s="6"/>
      <c r="J227" s="6"/>
      <c r="K227" s="6"/>
      <c r="L227" s="6"/>
      <c r="M227" s="6"/>
      <c r="N227" s="6"/>
      <c r="O227" s="6"/>
      <c r="P227" s="6"/>
      <c r="Q227" s="6"/>
      <c r="R227" s="6"/>
      <c r="S227" s="6"/>
      <c r="T227" s="6"/>
      <c r="U227" s="6"/>
      <c r="V227" s="6"/>
      <c r="W227" s="6"/>
      <c r="X227" s="6"/>
      <c r="Y227" s="6"/>
      <c r="Z227" s="6"/>
    </row>
    <row r="228" ht="22.5" customHeight="1">
      <c r="A228" s="84">
        <v>159.0</v>
      </c>
      <c r="B228" s="90">
        <v>50284.0</v>
      </c>
      <c r="C228" s="80">
        <f t="shared" si="17"/>
        <v>455413.2302</v>
      </c>
      <c r="D228" s="80">
        <f t="shared" si="18"/>
        <v>4310.336825</v>
      </c>
      <c r="E228" s="80">
        <f t="shared" si="14"/>
        <v>1988.637772</v>
      </c>
      <c r="F228" s="80">
        <f t="shared" si="15"/>
        <v>2321.699053</v>
      </c>
      <c r="G228" s="81">
        <f t="shared" si="16"/>
        <v>453091.5312</v>
      </c>
      <c r="H228" s="6"/>
      <c r="I228" s="6"/>
      <c r="J228" s="6"/>
      <c r="K228" s="6"/>
      <c r="L228" s="6"/>
      <c r="M228" s="6"/>
      <c r="N228" s="6"/>
      <c r="O228" s="6"/>
      <c r="P228" s="6"/>
      <c r="Q228" s="6"/>
      <c r="R228" s="6"/>
      <c r="S228" s="6"/>
      <c r="T228" s="6"/>
      <c r="U228" s="6"/>
      <c r="V228" s="6"/>
      <c r="W228" s="6"/>
      <c r="X228" s="6"/>
      <c r="Y228" s="6"/>
      <c r="Z228" s="6"/>
    </row>
    <row r="229" ht="22.5" customHeight="1">
      <c r="A229" s="84">
        <v>160.0</v>
      </c>
      <c r="B229" s="90">
        <v>50314.0</v>
      </c>
      <c r="C229" s="80">
        <f t="shared" si="17"/>
        <v>453091.5312</v>
      </c>
      <c r="D229" s="80">
        <f t="shared" si="18"/>
        <v>4310.336825</v>
      </c>
      <c r="E229" s="80">
        <f t="shared" si="14"/>
        <v>1978.499686</v>
      </c>
      <c r="F229" s="80">
        <f t="shared" si="15"/>
        <v>2331.837139</v>
      </c>
      <c r="G229" s="81">
        <f t="shared" si="16"/>
        <v>450759.694</v>
      </c>
      <c r="H229" s="6"/>
      <c r="I229" s="6"/>
      <c r="J229" s="6"/>
      <c r="K229" s="6"/>
      <c r="L229" s="6"/>
      <c r="M229" s="6"/>
      <c r="N229" s="6"/>
      <c r="O229" s="6"/>
      <c r="P229" s="6"/>
      <c r="Q229" s="6"/>
      <c r="R229" s="6"/>
      <c r="S229" s="6"/>
      <c r="T229" s="6"/>
      <c r="U229" s="6"/>
      <c r="V229" s="6"/>
      <c r="W229" s="6"/>
      <c r="X229" s="6"/>
      <c r="Y229" s="6"/>
      <c r="Z229" s="6"/>
    </row>
    <row r="230" ht="22.5" customHeight="1">
      <c r="A230" s="84">
        <v>161.0</v>
      </c>
      <c r="B230" s="90">
        <v>50345.0</v>
      </c>
      <c r="C230" s="80">
        <f t="shared" si="17"/>
        <v>450759.694</v>
      </c>
      <c r="D230" s="80">
        <f t="shared" si="18"/>
        <v>4310.336825</v>
      </c>
      <c r="E230" s="80">
        <f t="shared" si="14"/>
        <v>1968.317331</v>
      </c>
      <c r="F230" s="80">
        <f t="shared" si="15"/>
        <v>2342.019494</v>
      </c>
      <c r="G230" s="81">
        <f t="shared" si="16"/>
        <v>448417.6745</v>
      </c>
      <c r="H230" s="6"/>
      <c r="I230" s="6"/>
      <c r="J230" s="6"/>
      <c r="K230" s="6"/>
      <c r="L230" s="6"/>
      <c r="M230" s="6"/>
      <c r="N230" s="6"/>
      <c r="O230" s="6"/>
      <c r="P230" s="6"/>
      <c r="Q230" s="6"/>
      <c r="R230" s="6"/>
      <c r="S230" s="6"/>
      <c r="T230" s="6"/>
      <c r="U230" s="6"/>
      <c r="V230" s="6"/>
      <c r="W230" s="6"/>
      <c r="X230" s="6"/>
      <c r="Y230" s="6"/>
      <c r="Z230" s="6"/>
    </row>
    <row r="231" ht="22.5" customHeight="1">
      <c r="A231" s="84">
        <v>162.0</v>
      </c>
      <c r="B231" s="90">
        <v>50375.0</v>
      </c>
      <c r="C231" s="80">
        <f t="shared" si="17"/>
        <v>448417.6745</v>
      </c>
      <c r="D231" s="80">
        <f t="shared" si="18"/>
        <v>4310.336825</v>
      </c>
      <c r="E231" s="80">
        <f t="shared" si="14"/>
        <v>1958.090512</v>
      </c>
      <c r="F231" s="80">
        <f t="shared" si="15"/>
        <v>2352.246313</v>
      </c>
      <c r="G231" s="81">
        <f t="shared" si="16"/>
        <v>446065.4282</v>
      </c>
      <c r="H231" s="6"/>
      <c r="I231" s="6"/>
      <c r="J231" s="6"/>
      <c r="K231" s="6"/>
      <c r="L231" s="6"/>
      <c r="M231" s="6"/>
      <c r="N231" s="6"/>
      <c r="O231" s="6"/>
      <c r="P231" s="6"/>
      <c r="Q231" s="6"/>
      <c r="R231" s="6"/>
      <c r="S231" s="6"/>
      <c r="T231" s="6"/>
      <c r="U231" s="6"/>
      <c r="V231" s="6"/>
      <c r="W231" s="6"/>
      <c r="X231" s="6"/>
      <c r="Y231" s="6"/>
      <c r="Z231" s="6"/>
    </row>
    <row r="232" ht="22.5" customHeight="1">
      <c r="A232" s="84">
        <v>163.0</v>
      </c>
      <c r="B232" s="90">
        <v>50406.0</v>
      </c>
      <c r="C232" s="80">
        <f t="shared" si="17"/>
        <v>446065.4282</v>
      </c>
      <c r="D232" s="80">
        <f t="shared" si="18"/>
        <v>4310.336825</v>
      </c>
      <c r="E232" s="80">
        <f t="shared" si="14"/>
        <v>1947.819037</v>
      </c>
      <c r="F232" s="80">
        <f t="shared" si="15"/>
        <v>2362.517788</v>
      </c>
      <c r="G232" s="81">
        <f t="shared" si="16"/>
        <v>443702.9104</v>
      </c>
      <c r="H232" s="6"/>
      <c r="I232" s="6"/>
      <c r="J232" s="6"/>
      <c r="K232" s="6"/>
      <c r="L232" s="6"/>
      <c r="M232" s="6"/>
      <c r="N232" s="6"/>
      <c r="O232" s="6"/>
      <c r="P232" s="6"/>
      <c r="Q232" s="6"/>
      <c r="R232" s="6"/>
      <c r="S232" s="6"/>
      <c r="T232" s="6"/>
      <c r="U232" s="6"/>
      <c r="V232" s="6"/>
      <c r="W232" s="6"/>
      <c r="X232" s="6"/>
      <c r="Y232" s="6"/>
      <c r="Z232" s="6"/>
    </row>
    <row r="233" ht="22.5" customHeight="1">
      <c r="A233" s="84">
        <v>164.0</v>
      </c>
      <c r="B233" s="90">
        <v>50437.0</v>
      </c>
      <c r="C233" s="80">
        <f t="shared" si="17"/>
        <v>443702.9104</v>
      </c>
      <c r="D233" s="80">
        <f t="shared" si="18"/>
        <v>4310.336825</v>
      </c>
      <c r="E233" s="80">
        <f t="shared" si="14"/>
        <v>1937.502709</v>
      </c>
      <c r="F233" s="80">
        <f t="shared" si="15"/>
        <v>2372.834116</v>
      </c>
      <c r="G233" s="81">
        <f t="shared" si="16"/>
        <v>441330.0763</v>
      </c>
      <c r="H233" s="6"/>
      <c r="I233" s="6"/>
      <c r="J233" s="6"/>
      <c r="K233" s="6"/>
      <c r="L233" s="6"/>
      <c r="M233" s="6"/>
      <c r="N233" s="6"/>
      <c r="O233" s="6"/>
      <c r="P233" s="6"/>
      <c r="Q233" s="6"/>
      <c r="R233" s="6"/>
      <c r="S233" s="6"/>
      <c r="T233" s="6"/>
      <c r="U233" s="6"/>
      <c r="V233" s="6"/>
      <c r="W233" s="6"/>
      <c r="X233" s="6"/>
      <c r="Y233" s="6"/>
      <c r="Z233" s="6"/>
    </row>
    <row r="234" ht="22.5" customHeight="1">
      <c r="A234" s="84">
        <v>165.0</v>
      </c>
      <c r="B234" s="90">
        <v>50465.0</v>
      </c>
      <c r="C234" s="80">
        <f t="shared" si="17"/>
        <v>441330.0763</v>
      </c>
      <c r="D234" s="80">
        <f t="shared" si="18"/>
        <v>4310.336825</v>
      </c>
      <c r="E234" s="80">
        <f t="shared" si="14"/>
        <v>1927.141333</v>
      </c>
      <c r="F234" s="80">
        <f t="shared" si="15"/>
        <v>2383.195492</v>
      </c>
      <c r="G234" s="81">
        <f t="shared" si="16"/>
        <v>438946.8808</v>
      </c>
      <c r="H234" s="6"/>
      <c r="I234" s="6"/>
      <c r="J234" s="6"/>
      <c r="K234" s="6"/>
      <c r="L234" s="6"/>
      <c r="M234" s="6"/>
      <c r="N234" s="6"/>
      <c r="O234" s="6"/>
      <c r="P234" s="6"/>
      <c r="Q234" s="6"/>
      <c r="R234" s="6"/>
      <c r="S234" s="6"/>
      <c r="T234" s="6"/>
      <c r="U234" s="6"/>
      <c r="V234" s="6"/>
      <c r="W234" s="6"/>
      <c r="X234" s="6"/>
      <c r="Y234" s="6"/>
      <c r="Z234" s="6"/>
    </row>
    <row r="235" ht="22.5" customHeight="1">
      <c r="A235" s="84">
        <v>166.0</v>
      </c>
      <c r="B235" s="90">
        <v>50496.0</v>
      </c>
      <c r="C235" s="80">
        <f t="shared" si="17"/>
        <v>438946.8808</v>
      </c>
      <c r="D235" s="80">
        <f t="shared" si="18"/>
        <v>4310.336825</v>
      </c>
      <c r="E235" s="80">
        <f t="shared" si="14"/>
        <v>1916.734713</v>
      </c>
      <c r="F235" s="80">
        <f t="shared" si="15"/>
        <v>2393.602112</v>
      </c>
      <c r="G235" s="81">
        <f t="shared" si="16"/>
        <v>436553.2787</v>
      </c>
      <c r="H235" s="6"/>
      <c r="I235" s="6"/>
      <c r="J235" s="6"/>
      <c r="K235" s="6"/>
      <c r="L235" s="6"/>
      <c r="M235" s="6"/>
      <c r="N235" s="6"/>
      <c r="O235" s="6"/>
      <c r="P235" s="6"/>
      <c r="Q235" s="6"/>
      <c r="R235" s="6"/>
      <c r="S235" s="6"/>
      <c r="T235" s="6"/>
      <c r="U235" s="6"/>
      <c r="V235" s="6"/>
      <c r="W235" s="6"/>
      <c r="X235" s="6"/>
      <c r="Y235" s="6"/>
      <c r="Z235" s="6"/>
    </row>
    <row r="236" ht="22.5" customHeight="1">
      <c r="A236" s="84">
        <v>167.0</v>
      </c>
      <c r="B236" s="90">
        <v>50526.0</v>
      </c>
      <c r="C236" s="80">
        <f t="shared" si="17"/>
        <v>436553.2787</v>
      </c>
      <c r="D236" s="80">
        <f t="shared" si="18"/>
        <v>4310.336825</v>
      </c>
      <c r="E236" s="80">
        <f t="shared" si="14"/>
        <v>1906.28265</v>
      </c>
      <c r="F236" s="80">
        <f t="shared" si="15"/>
        <v>2404.054174</v>
      </c>
      <c r="G236" s="81">
        <f t="shared" si="16"/>
        <v>434149.2245</v>
      </c>
      <c r="H236" s="6"/>
      <c r="I236" s="6"/>
      <c r="J236" s="6"/>
      <c r="K236" s="6"/>
      <c r="L236" s="6"/>
      <c r="M236" s="6"/>
      <c r="N236" s="6"/>
      <c r="O236" s="6"/>
      <c r="P236" s="6"/>
      <c r="Q236" s="6"/>
      <c r="R236" s="6"/>
      <c r="S236" s="6"/>
      <c r="T236" s="6"/>
      <c r="U236" s="6"/>
      <c r="V236" s="6"/>
      <c r="W236" s="6"/>
      <c r="X236" s="6"/>
      <c r="Y236" s="6"/>
      <c r="Z236" s="6"/>
    </row>
    <row r="237" ht="22.5" customHeight="1">
      <c r="A237" s="84">
        <v>168.0</v>
      </c>
      <c r="B237" s="90">
        <v>50557.0</v>
      </c>
      <c r="C237" s="80">
        <f t="shared" si="17"/>
        <v>434149.2245</v>
      </c>
      <c r="D237" s="80">
        <f t="shared" si="18"/>
        <v>4310.336825</v>
      </c>
      <c r="E237" s="80">
        <f t="shared" si="14"/>
        <v>1895.784947</v>
      </c>
      <c r="F237" s="80">
        <f t="shared" si="15"/>
        <v>2414.551878</v>
      </c>
      <c r="G237" s="81">
        <f t="shared" si="16"/>
        <v>431734.6727</v>
      </c>
      <c r="H237" s="6"/>
      <c r="I237" s="6"/>
      <c r="J237" s="6"/>
      <c r="K237" s="6"/>
      <c r="L237" s="6"/>
      <c r="M237" s="6"/>
      <c r="N237" s="6"/>
      <c r="O237" s="6"/>
      <c r="P237" s="6"/>
      <c r="Q237" s="6"/>
      <c r="R237" s="6"/>
      <c r="S237" s="6"/>
      <c r="T237" s="6"/>
      <c r="U237" s="6"/>
      <c r="V237" s="6"/>
      <c r="W237" s="6"/>
      <c r="X237" s="6"/>
      <c r="Y237" s="6"/>
      <c r="Z237" s="6"/>
    </row>
    <row r="238" ht="22.5" customHeight="1">
      <c r="A238" s="84">
        <v>169.0</v>
      </c>
      <c r="B238" s="90">
        <v>50587.0</v>
      </c>
      <c r="C238" s="80">
        <f t="shared" si="17"/>
        <v>431734.6727</v>
      </c>
      <c r="D238" s="80">
        <f t="shared" si="18"/>
        <v>4310.336825</v>
      </c>
      <c r="E238" s="80">
        <f t="shared" si="14"/>
        <v>1885.241404</v>
      </c>
      <c r="F238" s="80">
        <f t="shared" si="15"/>
        <v>2425.095421</v>
      </c>
      <c r="G238" s="81">
        <f t="shared" si="16"/>
        <v>429309.5772</v>
      </c>
      <c r="H238" s="6"/>
      <c r="I238" s="6"/>
      <c r="J238" s="6"/>
      <c r="K238" s="6"/>
      <c r="L238" s="6"/>
      <c r="M238" s="6"/>
      <c r="N238" s="6"/>
      <c r="O238" s="6"/>
      <c r="P238" s="6"/>
      <c r="Q238" s="6"/>
      <c r="R238" s="6"/>
      <c r="S238" s="6"/>
      <c r="T238" s="6"/>
      <c r="U238" s="6"/>
      <c r="V238" s="6"/>
      <c r="W238" s="6"/>
      <c r="X238" s="6"/>
      <c r="Y238" s="6"/>
      <c r="Z238" s="6"/>
    </row>
    <row r="239" ht="22.5" customHeight="1">
      <c r="A239" s="84">
        <v>170.0</v>
      </c>
      <c r="B239" s="90">
        <v>50618.0</v>
      </c>
      <c r="C239" s="80">
        <f t="shared" si="17"/>
        <v>429309.5772</v>
      </c>
      <c r="D239" s="80">
        <f t="shared" si="18"/>
        <v>4310.336825</v>
      </c>
      <c r="E239" s="80">
        <f t="shared" si="14"/>
        <v>1874.651821</v>
      </c>
      <c r="F239" s="80">
        <f t="shared" si="15"/>
        <v>2435.685004</v>
      </c>
      <c r="G239" s="81">
        <f t="shared" si="16"/>
        <v>426873.8922</v>
      </c>
      <c r="H239" s="6"/>
      <c r="I239" s="6"/>
      <c r="J239" s="6"/>
      <c r="K239" s="6"/>
      <c r="L239" s="6"/>
      <c r="M239" s="6"/>
      <c r="N239" s="6"/>
      <c r="O239" s="6"/>
      <c r="P239" s="6"/>
      <c r="Q239" s="6"/>
      <c r="R239" s="6"/>
      <c r="S239" s="6"/>
      <c r="T239" s="6"/>
      <c r="U239" s="6"/>
      <c r="V239" s="6"/>
      <c r="W239" s="6"/>
      <c r="X239" s="6"/>
      <c r="Y239" s="6"/>
      <c r="Z239" s="6"/>
    </row>
    <row r="240" ht="22.5" customHeight="1">
      <c r="A240" s="84">
        <v>171.0</v>
      </c>
      <c r="B240" s="90">
        <v>50649.0</v>
      </c>
      <c r="C240" s="80">
        <f t="shared" si="17"/>
        <v>426873.8922</v>
      </c>
      <c r="D240" s="80">
        <f t="shared" si="18"/>
        <v>4310.336825</v>
      </c>
      <c r="E240" s="80">
        <f t="shared" si="14"/>
        <v>1864.015996</v>
      </c>
      <c r="F240" s="80">
        <f t="shared" si="15"/>
        <v>2446.320829</v>
      </c>
      <c r="G240" s="81">
        <f t="shared" si="16"/>
        <v>424427.5714</v>
      </c>
      <c r="H240" s="6"/>
      <c r="I240" s="6"/>
      <c r="J240" s="6"/>
      <c r="K240" s="6"/>
      <c r="L240" s="6"/>
      <c r="M240" s="6"/>
      <c r="N240" s="6"/>
      <c r="O240" s="6"/>
      <c r="P240" s="6"/>
      <c r="Q240" s="6"/>
      <c r="R240" s="6"/>
      <c r="S240" s="6"/>
      <c r="T240" s="6"/>
      <c r="U240" s="6"/>
      <c r="V240" s="6"/>
      <c r="W240" s="6"/>
      <c r="X240" s="6"/>
      <c r="Y240" s="6"/>
      <c r="Z240" s="6"/>
    </row>
    <row r="241" ht="22.5" customHeight="1">
      <c r="A241" s="84">
        <v>172.0</v>
      </c>
      <c r="B241" s="90">
        <v>50679.0</v>
      </c>
      <c r="C241" s="80">
        <f t="shared" si="17"/>
        <v>424427.5714</v>
      </c>
      <c r="D241" s="80">
        <f t="shared" si="18"/>
        <v>4310.336825</v>
      </c>
      <c r="E241" s="80">
        <f t="shared" si="14"/>
        <v>1853.333729</v>
      </c>
      <c r="F241" s="80">
        <f t="shared" si="15"/>
        <v>2457.003096</v>
      </c>
      <c r="G241" s="81">
        <f t="shared" si="16"/>
        <v>421970.5683</v>
      </c>
      <c r="H241" s="6"/>
      <c r="I241" s="6"/>
      <c r="J241" s="6"/>
      <c r="K241" s="6"/>
      <c r="L241" s="6"/>
      <c r="M241" s="6"/>
      <c r="N241" s="6"/>
      <c r="O241" s="6"/>
      <c r="P241" s="6"/>
      <c r="Q241" s="6"/>
      <c r="R241" s="6"/>
      <c r="S241" s="6"/>
      <c r="T241" s="6"/>
      <c r="U241" s="6"/>
      <c r="V241" s="6"/>
      <c r="W241" s="6"/>
      <c r="X241" s="6"/>
      <c r="Y241" s="6"/>
      <c r="Z241" s="6"/>
    </row>
    <row r="242" ht="22.5" customHeight="1">
      <c r="A242" s="84">
        <v>173.0</v>
      </c>
      <c r="B242" s="90">
        <v>50710.0</v>
      </c>
      <c r="C242" s="80">
        <f t="shared" si="17"/>
        <v>421970.5683</v>
      </c>
      <c r="D242" s="80">
        <f t="shared" si="18"/>
        <v>4310.336825</v>
      </c>
      <c r="E242" s="80">
        <f t="shared" si="14"/>
        <v>1842.604815</v>
      </c>
      <c r="F242" s="80">
        <f t="shared" si="15"/>
        <v>2467.73201</v>
      </c>
      <c r="G242" s="81">
        <f t="shared" si="16"/>
        <v>419502.8363</v>
      </c>
      <c r="H242" s="6"/>
      <c r="I242" s="6"/>
      <c r="J242" s="6"/>
      <c r="K242" s="6"/>
      <c r="L242" s="6"/>
      <c r="M242" s="6"/>
      <c r="N242" s="6"/>
      <c r="O242" s="6"/>
      <c r="P242" s="6"/>
      <c r="Q242" s="6"/>
      <c r="R242" s="6"/>
      <c r="S242" s="6"/>
      <c r="T242" s="6"/>
      <c r="U242" s="6"/>
      <c r="V242" s="6"/>
      <c r="W242" s="6"/>
      <c r="X242" s="6"/>
      <c r="Y242" s="6"/>
      <c r="Z242" s="6"/>
    </row>
    <row r="243" ht="22.5" customHeight="1">
      <c r="A243" s="84">
        <v>174.0</v>
      </c>
      <c r="B243" s="90">
        <v>50740.0</v>
      </c>
      <c r="C243" s="80">
        <f t="shared" si="17"/>
        <v>419502.8363</v>
      </c>
      <c r="D243" s="80">
        <f t="shared" si="18"/>
        <v>4310.336825</v>
      </c>
      <c r="E243" s="80">
        <f t="shared" si="14"/>
        <v>1831.829052</v>
      </c>
      <c r="F243" s="80">
        <f t="shared" si="15"/>
        <v>2478.507773</v>
      </c>
      <c r="G243" s="81">
        <f t="shared" si="16"/>
        <v>417024.3285</v>
      </c>
      <c r="H243" s="6"/>
      <c r="I243" s="6"/>
      <c r="J243" s="6"/>
      <c r="K243" s="6"/>
      <c r="L243" s="6"/>
      <c r="M243" s="6"/>
      <c r="N243" s="6"/>
      <c r="O243" s="6"/>
      <c r="P243" s="6"/>
      <c r="Q243" s="6"/>
      <c r="R243" s="6"/>
      <c r="S243" s="6"/>
      <c r="T243" s="6"/>
      <c r="U243" s="6"/>
      <c r="V243" s="6"/>
      <c r="W243" s="6"/>
      <c r="X243" s="6"/>
      <c r="Y243" s="6"/>
      <c r="Z243" s="6"/>
    </row>
    <row r="244" ht="22.5" customHeight="1">
      <c r="A244" s="84">
        <v>175.0</v>
      </c>
      <c r="B244" s="90">
        <v>50771.0</v>
      </c>
      <c r="C244" s="80">
        <f t="shared" si="17"/>
        <v>417024.3285</v>
      </c>
      <c r="D244" s="80">
        <f t="shared" si="18"/>
        <v>4310.336825</v>
      </c>
      <c r="E244" s="80">
        <f t="shared" si="14"/>
        <v>1821.006235</v>
      </c>
      <c r="F244" s="80">
        <f t="shared" si="15"/>
        <v>2489.33059</v>
      </c>
      <c r="G244" s="81">
        <f t="shared" si="16"/>
        <v>414534.9979</v>
      </c>
      <c r="H244" s="6"/>
      <c r="I244" s="6"/>
      <c r="J244" s="6"/>
      <c r="K244" s="6"/>
      <c r="L244" s="6"/>
      <c r="M244" s="6"/>
      <c r="N244" s="6"/>
      <c r="O244" s="6"/>
      <c r="P244" s="6"/>
      <c r="Q244" s="6"/>
      <c r="R244" s="6"/>
      <c r="S244" s="6"/>
      <c r="T244" s="6"/>
      <c r="U244" s="6"/>
      <c r="V244" s="6"/>
      <c r="W244" s="6"/>
      <c r="X244" s="6"/>
      <c r="Y244" s="6"/>
      <c r="Z244" s="6"/>
    </row>
    <row r="245" ht="22.5" customHeight="1">
      <c r="A245" s="84">
        <v>176.0</v>
      </c>
      <c r="B245" s="90">
        <v>50802.0</v>
      </c>
      <c r="C245" s="80">
        <f t="shared" si="17"/>
        <v>414534.9979</v>
      </c>
      <c r="D245" s="80">
        <f t="shared" si="18"/>
        <v>4310.336825</v>
      </c>
      <c r="E245" s="80">
        <f t="shared" si="14"/>
        <v>1810.136158</v>
      </c>
      <c r="F245" s="80">
        <f t="shared" si="15"/>
        <v>2500.200667</v>
      </c>
      <c r="G245" s="81">
        <f t="shared" si="16"/>
        <v>412034.7973</v>
      </c>
      <c r="H245" s="6"/>
      <c r="I245" s="6"/>
      <c r="J245" s="6"/>
      <c r="K245" s="6"/>
      <c r="L245" s="6"/>
      <c r="M245" s="6"/>
      <c r="N245" s="6"/>
      <c r="O245" s="6"/>
      <c r="P245" s="6"/>
      <c r="Q245" s="6"/>
      <c r="R245" s="6"/>
      <c r="S245" s="6"/>
      <c r="T245" s="6"/>
      <c r="U245" s="6"/>
      <c r="V245" s="6"/>
      <c r="W245" s="6"/>
      <c r="X245" s="6"/>
      <c r="Y245" s="6"/>
      <c r="Z245" s="6"/>
    </row>
    <row r="246" ht="22.5" customHeight="1">
      <c r="A246" s="84">
        <v>177.0</v>
      </c>
      <c r="B246" s="90">
        <v>50830.0</v>
      </c>
      <c r="C246" s="80">
        <f t="shared" si="17"/>
        <v>412034.7973</v>
      </c>
      <c r="D246" s="80">
        <f t="shared" si="18"/>
        <v>4310.336825</v>
      </c>
      <c r="E246" s="80">
        <f t="shared" si="14"/>
        <v>1799.218615</v>
      </c>
      <c r="F246" s="80">
        <f t="shared" si="15"/>
        <v>2511.11821</v>
      </c>
      <c r="G246" s="81">
        <f t="shared" si="16"/>
        <v>409523.6791</v>
      </c>
      <c r="H246" s="6"/>
      <c r="I246" s="6"/>
      <c r="J246" s="6"/>
      <c r="K246" s="6"/>
      <c r="L246" s="6"/>
      <c r="M246" s="6"/>
      <c r="N246" s="6"/>
      <c r="O246" s="6"/>
      <c r="P246" s="6"/>
      <c r="Q246" s="6"/>
      <c r="R246" s="6"/>
      <c r="S246" s="6"/>
      <c r="T246" s="6"/>
      <c r="U246" s="6"/>
      <c r="V246" s="6"/>
      <c r="W246" s="6"/>
      <c r="X246" s="6"/>
      <c r="Y246" s="6"/>
      <c r="Z246" s="6"/>
    </row>
    <row r="247" ht="22.5" customHeight="1">
      <c r="A247" s="84">
        <v>178.0</v>
      </c>
      <c r="B247" s="90">
        <v>50861.0</v>
      </c>
      <c r="C247" s="80">
        <f t="shared" si="17"/>
        <v>409523.6791</v>
      </c>
      <c r="D247" s="80">
        <f t="shared" si="18"/>
        <v>4310.336825</v>
      </c>
      <c r="E247" s="80">
        <f t="shared" si="14"/>
        <v>1788.253399</v>
      </c>
      <c r="F247" s="80">
        <f t="shared" si="15"/>
        <v>2522.083426</v>
      </c>
      <c r="G247" s="81">
        <f t="shared" si="16"/>
        <v>407001.5956</v>
      </c>
      <c r="H247" s="6"/>
      <c r="I247" s="6"/>
      <c r="J247" s="6"/>
      <c r="K247" s="6"/>
      <c r="L247" s="6"/>
      <c r="M247" s="6"/>
      <c r="N247" s="6"/>
      <c r="O247" s="6"/>
      <c r="P247" s="6"/>
      <c r="Q247" s="6"/>
      <c r="R247" s="6"/>
      <c r="S247" s="6"/>
      <c r="T247" s="6"/>
      <c r="U247" s="6"/>
      <c r="V247" s="6"/>
      <c r="W247" s="6"/>
      <c r="X247" s="6"/>
      <c r="Y247" s="6"/>
      <c r="Z247" s="6"/>
    </row>
    <row r="248" ht="22.5" customHeight="1">
      <c r="A248" s="84">
        <v>179.0</v>
      </c>
      <c r="B248" s="90">
        <v>50891.0</v>
      </c>
      <c r="C248" s="80">
        <f t="shared" si="17"/>
        <v>407001.5956</v>
      </c>
      <c r="D248" s="80">
        <f t="shared" si="18"/>
        <v>4310.336825</v>
      </c>
      <c r="E248" s="80">
        <f t="shared" si="14"/>
        <v>1777.240301</v>
      </c>
      <c r="F248" s="80">
        <f t="shared" si="15"/>
        <v>2533.096524</v>
      </c>
      <c r="G248" s="81">
        <f t="shared" si="16"/>
        <v>404468.4991</v>
      </c>
      <c r="H248" s="6"/>
      <c r="I248" s="6"/>
      <c r="J248" s="6"/>
      <c r="K248" s="6"/>
      <c r="L248" s="6"/>
      <c r="M248" s="6"/>
      <c r="N248" s="6"/>
      <c r="O248" s="6"/>
      <c r="P248" s="6"/>
      <c r="Q248" s="6"/>
      <c r="R248" s="6"/>
      <c r="S248" s="6"/>
      <c r="T248" s="6"/>
      <c r="U248" s="6"/>
      <c r="V248" s="6"/>
      <c r="W248" s="6"/>
      <c r="X248" s="6"/>
      <c r="Y248" s="6"/>
      <c r="Z248" s="6"/>
    </row>
    <row r="249" ht="22.5" customHeight="1">
      <c r="A249" s="84">
        <v>180.0</v>
      </c>
      <c r="B249" s="90">
        <v>50922.0</v>
      </c>
      <c r="C249" s="80">
        <f t="shared" si="17"/>
        <v>404468.4991</v>
      </c>
      <c r="D249" s="80">
        <f t="shared" si="18"/>
        <v>4310.336825</v>
      </c>
      <c r="E249" s="80">
        <f t="shared" si="14"/>
        <v>1766.179113</v>
      </c>
      <c r="F249" s="80">
        <f t="shared" si="15"/>
        <v>2544.157712</v>
      </c>
      <c r="G249" s="81">
        <f t="shared" si="16"/>
        <v>401924.3414</v>
      </c>
      <c r="H249" s="6"/>
      <c r="I249" s="6"/>
      <c r="J249" s="6"/>
      <c r="K249" s="6"/>
      <c r="L249" s="6"/>
      <c r="M249" s="6"/>
      <c r="N249" s="6"/>
      <c r="O249" s="6"/>
      <c r="P249" s="6"/>
      <c r="Q249" s="6"/>
      <c r="R249" s="6"/>
      <c r="S249" s="6"/>
      <c r="T249" s="6"/>
      <c r="U249" s="6"/>
      <c r="V249" s="6"/>
      <c r="W249" s="6"/>
      <c r="X249" s="6"/>
      <c r="Y249" s="6"/>
      <c r="Z249" s="6"/>
    </row>
    <row r="250" ht="22.5" customHeight="1">
      <c r="A250" s="84">
        <v>181.0</v>
      </c>
      <c r="B250" s="90">
        <v>50952.0</v>
      </c>
      <c r="C250" s="80">
        <f t="shared" si="17"/>
        <v>401924.3414</v>
      </c>
      <c r="D250" s="80">
        <f t="shared" si="18"/>
        <v>4310.336825</v>
      </c>
      <c r="E250" s="80">
        <f t="shared" si="14"/>
        <v>1755.069624</v>
      </c>
      <c r="F250" s="80">
        <f t="shared" si="15"/>
        <v>2555.267201</v>
      </c>
      <c r="G250" s="81">
        <f t="shared" si="16"/>
        <v>399369.0742</v>
      </c>
      <c r="H250" s="6"/>
      <c r="I250" s="6"/>
      <c r="J250" s="6"/>
      <c r="K250" s="6"/>
      <c r="L250" s="6"/>
      <c r="M250" s="6"/>
      <c r="N250" s="6"/>
      <c r="O250" s="6"/>
      <c r="P250" s="6"/>
      <c r="Q250" s="6"/>
      <c r="R250" s="6"/>
      <c r="S250" s="6"/>
      <c r="T250" s="6"/>
      <c r="U250" s="6"/>
      <c r="V250" s="6"/>
      <c r="W250" s="6"/>
      <c r="X250" s="6"/>
      <c r="Y250" s="6"/>
      <c r="Z250" s="6"/>
    </row>
    <row r="251" ht="22.5" customHeight="1">
      <c r="A251" s="84">
        <v>182.0</v>
      </c>
      <c r="B251" s="90">
        <v>50983.0</v>
      </c>
      <c r="C251" s="80">
        <f t="shared" si="17"/>
        <v>399369.0742</v>
      </c>
      <c r="D251" s="80">
        <f t="shared" si="18"/>
        <v>4310.336825</v>
      </c>
      <c r="E251" s="80">
        <f t="shared" si="14"/>
        <v>1743.911624</v>
      </c>
      <c r="F251" s="80">
        <f t="shared" si="15"/>
        <v>2566.425201</v>
      </c>
      <c r="G251" s="81">
        <f t="shared" si="16"/>
        <v>396802.649</v>
      </c>
      <c r="H251" s="6"/>
      <c r="I251" s="6"/>
      <c r="J251" s="6"/>
      <c r="K251" s="6"/>
      <c r="L251" s="6"/>
      <c r="M251" s="6"/>
      <c r="N251" s="6"/>
      <c r="O251" s="6"/>
      <c r="P251" s="6"/>
      <c r="Q251" s="6"/>
      <c r="R251" s="6"/>
      <c r="S251" s="6"/>
      <c r="T251" s="6"/>
      <c r="U251" s="6"/>
      <c r="V251" s="6"/>
      <c r="W251" s="6"/>
      <c r="X251" s="6"/>
      <c r="Y251" s="6"/>
      <c r="Z251" s="6"/>
    </row>
    <row r="252" ht="22.5" customHeight="1">
      <c r="A252" s="84">
        <v>183.0</v>
      </c>
      <c r="B252" s="90">
        <v>51014.0</v>
      </c>
      <c r="C252" s="80">
        <f t="shared" si="17"/>
        <v>396802.649</v>
      </c>
      <c r="D252" s="80">
        <f t="shared" si="18"/>
        <v>4310.336825</v>
      </c>
      <c r="E252" s="80">
        <f t="shared" si="14"/>
        <v>1732.704901</v>
      </c>
      <c r="F252" s="80">
        <f t="shared" si="15"/>
        <v>2577.631924</v>
      </c>
      <c r="G252" s="81">
        <f t="shared" si="16"/>
        <v>394225.0171</v>
      </c>
      <c r="H252" s="6"/>
      <c r="I252" s="6"/>
      <c r="J252" s="6"/>
      <c r="K252" s="6"/>
      <c r="L252" s="6"/>
      <c r="M252" s="6"/>
      <c r="N252" s="6"/>
      <c r="O252" s="6"/>
      <c r="P252" s="6"/>
      <c r="Q252" s="6"/>
      <c r="R252" s="6"/>
      <c r="S252" s="6"/>
      <c r="T252" s="6"/>
      <c r="U252" s="6"/>
      <c r="V252" s="6"/>
      <c r="W252" s="6"/>
      <c r="X252" s="6"/>
      <c r="Y252" s="6"/>
      <c r="Z252" s="6"/>
    </row>
    <row r="253" ht="22.5" customHeight="1">
      <c r="A253" s="84">
        <v>184.0</v>
      </c>
      <c r="B253" s="90">
        <v>51044.0</v>
      </c>
      <c r="C253" s="80">
        <f t="shared" si="17"/>
        <v>394225.0171</v>
      </c>
      <c r="D253" s="80">
        <f t="shared" si="18"/>
        <v>4310.336825</v>
      </c>
      <c r="E253" s="80">
        <f t="shared" si="14"/>
        <v>1721.449241</v>
      </c>
      <c r="F253" s="80">
        <f t="shared" si="15"/>
        <v>2588.887584</v>
      </c>
      <c r="G253" s="81">
        <f t="shared" si="16"/>
        <v>391636.1295</v>
      </c>
      <c r="H253" s="6"/>
      <c r="I253" s="6"/>
      <c r="J253" s="6"/>
      <c r="K253" s="6"/>
      <c r="L253" s="6"/>
      <c r="M253" s="6"/>
      <c r="N253" s="6"/>
      <c r="O253" s="6"/>
      <c r="P253" s="6"/>
      <c r="Q253" s="6"/>
      <c r="R253" s="6"/>
      <c r="S253" s="6"/>
      <c r="T253" s="6"/>
      <c r="U253" s="6"/>
      <c r="V253" s="6"/>
      <c r="W253" s="6"/>
      <c r="X253" s="6"/>
      <c r="Y253" s="6"/>
      <c r="Z253" s="6"/>
    </row>
    <row r="254" ht="22.5" customHeight="1">
      <c r="A254" s="84">
        <v>185.0</v>
      </c>
      <c r="B254" s="90">
        <v>51075.0</v>
      </c>
      <c r="C254" s="80">
        <f t="shared" si="17"/>
        <v>391636.1295</v>
      </c>
      <c r="D254" s="80">
        <f t="shared" si="18"/>
        <v>4310.336825</v>
      </c>
      <c r="E254" s="80">
        <f t="shared" si="14"/>
        <v>1710.144432</v>
      </c>
      <c r="F254" s="80">
        <f t="shared" si="15"/>
        <v>2600.192393</v>
      </c>
      <c r="G254" s="81">
        <f t="shared" si="16"/>
        <v>389035.9371</v>
      </c>
      <c r="H254" s="6"/>
      <c r="I254" s="6"/>
      <c r="J254" s="6"/>
      <c r="K254" s="6"/>
      <c r="L254" s="6"/>
      <c r="M254" s="6"/>
      <c r="N254" s="6"/>
      <c r="O254" s="6"/>
      <c r="P254" s="6"/>
      <c r="Q254" s="6"/>
      <c r="R254" s="6"/>
      <c r="S254" s="6"/>
      <c r="T254" s="6"/>
      <c r="U254" s="6"/>
      <c r="V254" s="6"/>
      <c r="W254" s="6"/>
      <c r="X254" s="6"/>
      <c r="Y254" s="6"/>
      <c r="Z254" s="6"/>
    </row>
    <row r="255" ht="22.5" customHeight="1">
      <c r="A255" s="84">
        <v>186.0</v>
      </c>
      <c r="B255" s="90">
        <v>51105.0</v>
      </c>
      <c r="C255" s="80">
        <f t="shared" si="17"/>
        <v>389035.9371</v>
      </c>
      <c r="D255" s="80">
        <f t="shared" si="18"/>
        <v>4310.336825</v>
      </c>
      <c r="E255" s="80">
        <f t="shared" si="14"/>
        <v>1698.790259</v>
      </c>
      <c r="F255" s="80">
        <f t="shared" si="15"/>
        <v>2611.546566</v>
      </c>
      <c r="G255" s="81">
        <f t="shared" si="16"/>
        <v>386424.3905</v>
      </c>
      <c r="H255" s="6"/>
      <c r="I255" s="6"/>
      <c r="J255" s="6"/>
      <c r="K255" s="6"/>
      <c r="L255" s="6"/>
      <c r="M255" s="6"/>
      <c r="N255" s="6"/>
      <c r="O255" s="6"/>
      <c r="P255" s="6"/>
      <c r="Q255" s="6"/>
      <c r="R255" s="6"/>
      <c r="S255" s="6"/>
      <c r="T255" s="6"/>
      <c r="U255" s="6"/>
      <c r="V255" s="6"/>
      <c r="W255" s="6"/>
      <c r="X255" s="6"/>
      <c r="Y255" s="6"/>
      <c r="Z255" s="6"/>
    </row>
    <row r="256" ht="22.5" customHeight="1">
      <c r="A256" s="84">
        <v>187.0</v>
      </c>
      <c r="B256" s="90">
        <v>51136.0</v>
      </c>
      <c r="C256" s="80">
        <f t="shared" si="17"/>
        <v>386424.3905</v>
      </c>
      <c r="D256" s="80">
        <f t="shared" si="18"/>
        <v>4310.336825</v>
      </c>
      <c r="E256" s="80">
        <f t="shared" si="14"/>
        <v>1687.386505</v>
      </c>
      <c r="F256" s="80">
        <f t="shared" si="15"/>
        <v>2622.950319</v>
      </c>
      <c r="G256" s="81">
        <f t="shared" si="16"/>
        <v>383801.4402</v>
      </c>
      <c r="H256" s="6"/>
      <c r="I256" s="6"/>
      <c r="J256" s="6"/>
      <c r="K256" s="6"/>
      <c r="L256" s="6"/>
      <c r="M256" s="6"/>
      <c r="N256" s="6"/>
      <c r="O256" s="6"/>
      <c r="P256" s="6"/>
      <c r="Q256" s="6"/>
      <c r="R256" s="6"/>
      <c r="S256" s="6"/>
      <c r="T256" s="6"/>
      <c r="U256" s="6"/>
      <c r="V256" s="6"/>
      <c r="W256" s="6"/>
      <c r="X256" s="6"/>
      <c r="Y256" s="6"/>
      <c r="Z256" s="6"/>
    </row>
    <row r="257" ht="22.5" customHeight="1">
      <c r="A257" s="84">
        <v>188.0</v>
      </c>
      <c r="B257" s="90">
        <v>51167.0</v>
      </c>
      <c r="C257" s="80">
        <f t="shared" si="17"/>
        <v>383801.4402</v>
      </c>
      <c r="D257" s="80">
        <f t="shared" si="18"/>
        <v>4310.336825</v>
      </c>
      <c r="E257" s="80">
        <f t="shared" si="14"/>
        <v>1675.932956</v>
      </c>
      <c r="F257" s="80">
        <f t="shared" si="15"/>
        <v>2634.403869</v>
      </c>
      <c r="G257" s="81">
        <f t="shared" si="16"/>
        <v>381167.0364</v>
      </c>
      <c r="H257" s="6"/>
      <c r="I257" s="6"/>
      <c r="J257" s="6"/>
      <c r="K257" s="6"/>
      <c r="L257" s="6"/>
      <c r="M257" s="6"/>
      <c r="N257" s="6"/>
      <c r="O257" s="6"/>
      <c r="P257" s="6"/>
      <c r="Q257" s="6"/>
      <c r="R257" s="6"/>
      <c r="S257" s="6"/>
      <c r="T257" s="6"/>
      <c r="U257" s="6"/>
      <c r="V257" s="6"/>
      <c r="W257" s="6"/>
      <c r="X257" s="6"/>
      <c r="Y257" s="6"/>
      <c r="Z257" s="6"/>
    </row>
    <row r="258" ht="22.5" customHeight="1">
      <c r="A258" s="84">
        <v>189.0</v>
      </c>
      <c r="B258" s="90">
        <v>51196.0</v>
      </c>
      <c r="C258" s="80">
        <f t="shared" si="17"/>
        <v>381167.0364</v>
      </c>
      <c r="D258" s="80">
        <f t="shared" si="18"/>
        <v>4310.336825</v>
      </c>
      <c r="E258" s="80">
        <f t="shared" si="14"/>
        <v>1664.429392</v>
      </c>
      <c r="F258" s="80">
        <f t="shared" si="15"/>
        <v>2645.907433</v>
      </c>
      <c r="G258" s="81">
        <f t="shared" si="16"/>
        <v>378521.1289</v>
      </c>
      <c r="H258" s="6"/>
      <c r="I258" s="6"/>
      <c r="J258" s="6"/>
      <c r="K258" s="6"/>
      <c r="L258" s="6"/>
      <c r="M258" s="6"/>
      <c r="N258" s="6"/>
      <c r="O258" s="6"/>
      <c r="P258" s="6"/>
      <c r="Q258" s="6"/>
      <c r="R258" s="6"/>
      <c r="S258" s="6"/>
      <c r="T258" s="6"/>
      <c r="U258" s="6"/>
      <c r="V258" s="6"/>
      <c r="W258" s="6"/>
      <c r="X258" s="6"/>
      <c r="Y258" s="6"/>
      <c r="Z258" s="6"/>
    </row>
    <row r="259" ht="22.5" customHeight="1">
      <c r="A259" s="84">
        <v>190.0</v>
      </c>
      <c r="B259" s="90">
        <v>51227.0</v>
      </c>
      <c r="C259" s="80">
        <f t="shared" si="17"/>
        <v>378521.1289</v>
      </c>
      <c r="D259" s="80">
        <f t="shared" si="18"/>
        <v>4310.336825</v>
      </c>
      <c r="E259" s="80">
        <f t="shared" si="14"/>
        <v>1652.875596</v>
      </c>
      <c r="F259" s="80">
        <f t="shared" si="15"/>
        <v>2657.461229</v>
      </c>
      <c r="G259" s="81">
        <f t="shared" si="16"/>
        <v>375863.6677</v>
      </c>
      <c r="H259" s="6"/>
      <c r="I259" s="6"/>
      <c r="J259" s="6"/>
      <c r="K259" s="6"/>
      <c r="L259" s="6"/>
      <c r="M259" s="6"/>
      <c r="N259" s="6"/>
      <c r="O259" s="6"/>
      <c r="P259" s="6"/>
      <c r="Q259" s="6"/>
      <c r="R259" s="6"/>
      <c r="S259" s="6"/>
      <c r="T259" s="6"/>
      <c r="U259" s="6"/>
      <c r="V259" s="6"/>
      <c r="W259" s="6"/>
      <c r="X259" s="6"/>
      <c r="Y259" s="6"/>
      <c r="Z259" s="6"/>
    </row>
    <row r="260" ht="22.5" customHeight="1">
      <c r="A260" s="84">
        <v>191.0</v>
      </c>
      <c r="B260" s="90">
        <v>51257.0</v>
      </c>
      <c r="C260" s="80">
        <f t="shared" si="17"/>
        <v>375863.6677</v>
      </c>
      <c r="D260" s="80">
        <f t="shared" si="18"/>
        <v>4310.336825</v>
      </c>
      <c r="E260" s="80">
        <f t="shared" si="14"/>
        <v>1641.271349</v>
      </c>
      <c r="F260" s="80">
        <f t="shared" si="15"/>
        <v>2669.065476</v>
      </c>
      <c r="G260" s="81">
        <f t="shared" si="16"/>
        <v>373194.6022</v>
      </c>
      <c r="H260" s="6"/>
      <c r="I260" s="6"/>
      <c r="J260" s="6"/>
      <c r="K260" s="6"/>
      <c r="L260" s="6"/>
      <c r="M260" s="6"/>
      <c r="N260" s="6"/>
      <c r="O260" s="6"/>
      <c r="P260" s="6"/>
      <c r="Q260" s="6"/>
      <c r="R260" s="6"/>
      <c r="S260" s="6"/>
      <c r="T260" s="6"/>
      <c r="U260" s="6"/>
      <c r="V260" s="6"/>
      <c r="W260" s="6"/>
      <c r="X260" s="6"/>
      <c r="Y260" s="6"/>
      <c r="Z260" s="6"/>
    </row>
    <row r="261" ht="22.5" customHeight="1">
      <c r="A261" s="84">
        <v>192.0</v>
      </c>
      <c r="B261" s="90">
        <v>51288.0</v>
      </c>
      <c r="C261" s="80">
        <f t="shared" si="17"/>
        <v>373194.6022</v>
      </c>
      <c r="D261" s="80">
        <f t="shared" si="18"/>
        <v>4310.336825</v>
      </c>
      <c r="E261" s="80">
        <f t="shared" si="14"/>
        <v>1629.61643</v>
      </c>
      <c r="F261" s="80">
        <f t="shared" si="15"/>
        <v>2680.720395</v>
      </c>
      <c r="G261" s="81">
        <f t="shared" si="16"/>
        <v>370513.8818</v>
      </c>
      <c r="H261" s="6"/>
      <c r="I261" s="6"/>
      <c r="J261" s="6"/>
      <c r="K261" s="6"/>
      <c r="L261" s="6"/>
      <c r="M261" s="6"/>
      <c r="N261" s="6"/>
      <c r="O261" s="6"/>
      <c r="P261" s="6"/>
      <c r="Q261" s="6"/>
      <c r="R261" s="6"/>
      <c r="S261" s="6"/>
      <c r="T261" s="6"/>
      <c r="U261" s="6"/>
      <c r="V261" s="6"/>
      <c r="W261" s="6"/>
      <c r="X261" s="6"/>
      <c r="Y261" s="6"/>
      <c r="Z261" s="6"/>
    </row>
    <row r="262" ht="22.5" customHeight="1">
      <c r="A262" s="84">
        <v>193.0</v>
      </c>
      <c r="B262" s="90">
        <v>51318.0</v>
      </c>
      <c r="C262" s="80">
        <f t="shared" si="17"/>
        <v>370513.8818</v>
      </c>
      <c r="D262" s="80">
        <f t="shared" si="18"/>
        <v>4310.336825</v>
      </c>
      <c r="E262" s="80">
        <f t="shared" si="14"/>
        <v>1617.910617</v>
      </c>
      <c r="F262" s="80">
        <f t="shared" si="15"/>
        <v>2692.426208</v>
      </c>
      <c r="G262" s="81">
        <f t="shared" si="16"/>
        <v>367821.4556</v>
      </c>
      <c r="H262" s="6"/>
      <c r="I262" s="6"/>
      <c r="J262" s="6"/>
      <c r="K262" s="6"/>
      <c r="L262" s="6"/>
      <c r="M262" s="6"/>
      <c r="N262" s="6"/>
      <c r="O262" s="6"/>
      <c r="P262" s="6"/>
      <c r="Q262" s="6"/>
      <c r="R262" s="6"/>
      <c r="S262" s="6"/>
      <c r="T262" s="6"/>
      <c r="U262" s="6"/>
      <c r="V262" s="6"/>
      <c r="W262" s="6"/>
      <c r="X262" s="6"/>
      <c r="Y262" s="6"/>
      <c r="Z262" s="6"/>
    </row>
    <row r="263" ht="22.5" customHeight="1">
      <c r="A263" s="84">
        <v>194.0</v>
      </c>
      <c r="B263" s="90">
        <v>51349.0</v>
      </c>
      <c r="C263" s="80">
        <f t="shared" si="17"/>
        <v>367821.4556</v>
      </c>
      <c r="D263" s="80">
        <f t="shared" si="18"/>
        <v>4310.336825</v>
      </c>
      <c r="E263" s="80">
        <f t="shared" si="14"/>
        <v>1606.15369</v>
      </c>
      <c r="F263" s="80">
        <f t="shared" si="15"/>
        <v>2704.183135</v>
      </c>
      <c r="G263" s="81">
        <f t="shared" si="16"/>
        <v>365117.2725</v>
      </c>
      <c r="H263" s="6"/>
      <c r="I263" s="6"/>
      <c r="J263" s="6"/>
      <c r="K263" s="6"/>
      <c r="L263" s="6"/>
      <c r="M263" s="6"/>
      <c r="N263" s="6"/>
      <c r="O263" s="6"/>
      <c r="P263" s="6"/>
      <c r="Q263" s="6"/>
      <c r="R263" s="6"/>
      <c r="S263" s="6"/>
      <c r="T263" s="6"/>
      <c r="U263" s="6"/>
      <c r="V263" s="6"/>
      <c r="W263" s="6"/>
      <c r="X263" s="6"/>
      <c r="Y263" s="6"/>
      <c r="Z263" s="6"/>
    </row>
    <row r="264" ht="22.5" customHeight="1">
      <c r="A264" s="84">
        <v>195.0</v>
      </c>
      <c r="B264" s="90">
        <v>51380.0</v>
      </c>
      <c r="C264" s="80">
        <f t="shared" si="17"/>
        <v>365117.2725</v>
      </c>
      <c r="D264" s="80">
        <f t="shared" si="18"/>
        <v>4310.336825</v>
      </c>
      <c r="E264" s="80">
        <f t="shared" si="14"/>
        <v>1594.345423</v>
      </c>
      <c r="F264" s="80">
        <f t="shared" si="15"/>
        <v>2715.991402</v>
      </c>
      <c r="G264" s="81">
        <f t="shared" si="16"/>
        <v>362401.2811</v>
      </c>
      <c r="H264" s="6"/>
      <c r="I264" s="6"/>
      <c r="J264" s="6"/>
      <c r="K264" s="6"/>
      <c r="L264" s="6"/>
      <c r="M264" s="6"/>
      <c r="N264" s="6"/>
      <c r="O264" s="6"/>
      <c r="P264" s="6"/>
      <c r="Q264" s="6"/>
      <c r="R264" s="6"/>
      <c r="S264" s="6"/>
      <c r="T264" s="6"/>
      <c r="U264" s="6"/>
      <c r="V264" s="6"/>
      <c r="W264" s="6"/>
      <c r="X264" s="6"/>
      <c r="Y264" s="6"/>
      <c r="Z264" s="6"/>
    </row>
    <row r="265" ht="22.5" customHeight="1">
      <c r="A265" s="84">
        <v>196.0</v>
      </c>
      <c r="B265" s="90">
        <v>51410.0</v>
      </c>
      <c r="C265" s="80">
        <f t="shared" si="17"/>
        <v>362401.2811</v>
      </c>
      <c r="D265" s="80">
        <f t="shared" si="18"/>
        <v>4310.336825</v>
      </c>
      <c r="E265" s="80">
        <f t="shared" si="14"/>
        <v>1582.485594</v>
      </c>
      <c r="F265" s="80">
        <f t="shared" si="15"/>
        <v>2727.851231</v>
      </c>
      <c r="G265" s="81">
        <f t="shared" si="16"/>
        <v>359673.4298</v>
      </c>
      <c r="H265" s="6"/>
      <c r="I265" s="6"/>
      <c r="J265" s="6"/>
      <c r="K265" s="6"/>
      <c r="L265" s="6"/>
      <c r="M265" s="6"/>
      <c r="N265" s="6"/>
      <c r="O265" s="6"/>
      <c r="P265" s="6"/>
      <c r="Q265" s="6"/>
      <c r="R265" s="6"/>
      <c r="S265" s="6"/>
      <c r="T265" s="6"/>
      <c r="U265" s="6"/>
      <c r="V265" s="6"/>
      <c r="W265" s="6"/>
      <c r="X265" s="6"/>
      <c r="Y265" s="6"/>
      <c r="Z265" s="6"/>
    </row>
    <row r="266" ht="22.5" customHeight="1">
      <c r="A266" s="84">
        <v>197.0</v>
      </c>
      <c r="B266" s="90">
        <v>51441.0</v>
      </c>
      <c r="C266" s="80">
        <f t="shared" si="17"/>
        <v>359673.4298</v>
      </c>
      <c r="D266" s="80">
        <f t="shared" si="18"/>
        <v>4310.336825</v>
      </c>
      <c r="E266" s="80">
        <f t="shared" si="14"/>
        <v>1570.573977</v>
      </c>
      <c r="F266" s="80">
        <f t="shared" si="15"/>
        <v>2739.762848</v>
      </c>
      <c r="G266" s="81">
        <f t="shared" si="16"/>
        <v>356933.667</v>
      </c>
      <c r="H266" s="6"/>
      <c r="I266" s="6"/>
      <c r="J266" s="6"/>
      <c r="K266" s="6"/>
      <c r="L266" s="6"/>
      <c r="M266" s="6"/>
      <c r="N266" s="6"/>
      <c r="O266" s="6"/>
      <c r="P266" s="6"/>
      <c r="Q266" s="6"/>
      <c r="R266" s="6"/>
      <c r="S266" s="6"/>
      <c r="T266" s="6"/>
      <c r="U266" s="6"/>
      <c r="V266" s="6"/>
      <c r="W266" s="6"/>
      <c r="X266" s="6"/>
      <c r="Y266" s="6"/>
      <c r="Z266" s="6"/>
    </row>
    <row r="267" ht="22.5" customHeight="1">
      <c r="A267" s="84">
        <v>198.0</v>
      </c>
      <c r="B267" s="90">
        <v>51471.0</v>
      </c>
      <c r="C267" s="80">
        <f t="shared" si="17"/>
        <v>356933.667</v>
      </c>
      <c r="D267" s="80">
        <f t="shared" si="18"/>
        <v>4310.336825</v>
      </c>
      <c r="E267" s="80">
        <f t="shared" si="14"/>
        <v>1558.610346</v>
      </c>
      <c r="F267" s="80">
        <f t="shared" si="15"/>
        <v>2751.726479</v>
      </c>
      <c r="G267" s="81">
        <f t="shared" si="16"/>
        <v>354181.9405</v>
      </c>
      <c r="H267" s="6"/>
      <c r="I267" s="6"/>
      <c r="J267" s="6"/>
      <c r="K267" s="6"/>
      <c r="L267" s="6"/>
      <c r="M267" s="6"/>
      <c r="N267" s="6"/>
      <c r="O267" s="6"/>
      <c r="P267" s="6"/>
      <c r="Q267" s="6"/>
      <c r="R267" s="6"/>
      <c r="S267" s="6"/>
      <c r="T267" s="6"/>
      <c r="U267" s="6"/>
      <c r="V267" s="6"/>
      <c r="W267" s="6"/>
      <c r="X267" s="6"/>
      <c r="Y267" s="6"/>
      <c r="Z267" s="6"/>
    </row>
    <row r="268" ht="22.5" customHeight="1">
      <c r="A268" s="84">
        <v>199.0</v>
      </c>
      <c r="B268" s="90">
        <v>51502.0</v>
      </c>
      <c r="C268" s="80">
        <f t="shared" si="17"/>
        <v>354181.9405</v>
      </c>
      <c r="D268" s="80">
        <f t="shared" si="18"/>
        <v>4310.336825</v>
      </c>
      <c r="E268" s="80">
        <f t="shared" si="14"/>
        <v>1546.594474</v>
      </c>
      <c r="F268" s="80">
        <f t="shared" si="15"/>
        <v>2763.742351</v>
      </c>
      <c r="G268" s="81">
        <f t="shared" si="16"/>
        <v>351418.1982</v>
      </c>
      <c r="H268" s="6"/>
      <c r="I268" s="6"/>
      <c r="J268" s="6"/>
      <c r="K268" s="6"/>
      <c r="L268" s="6"/>
      <c r="M268" s="6"/>
      <c r="N268" s="6"/>
      <c r="O268" s="6"/>
      <c r="P268" s="6"/>
      <c r="Q268" s="6"/>
      <c r="R268" s="6"/>
      <c r="S268" s="6"/>
      <c r="T268" s="6"/>
      <c r="U268" s="6"/>
      <c r="V268" s="6"/>
      <c r="W268" s="6"/>
      <c r="X268" s="6"/>
      <c r="Y268" s="6"/>
      <c r="Z268" s="6"/>
    </row>
    <row r="269" ht="22.5" customHeight="1">
      <c r="A269" s="84">
        <v>200.0</v>
      </c>
      <c r="B269" s="90">
        <v>51533.0</v>
      </c>
      <c r="C269" s="80">
        <f t="shared" si="17"/>
        <v>351418.1982</v>
      </c>
      <c r="D269" s="80">
        <f t="shared" si="18"/>
        <v>4310.336825</v>
      </c>
      <c r="E269" s="80">
        <f t="shared" si="14"/>
        <v>1534.526132</v>
      </c>
      <c r="F269" s="80">
        <f t="shared" si="15"/>
        <v>2775.810693</v>
      </c>
      <c r="G269" s="81">
        <f t="shared" si="16"/>
        <v>348642.3875</v>
      </c>
      <c r="H269" s="6"/>
      <c r="I269" s="6"/>
      <c r="J269" s="6"/>
      <c r="K269" s="6"/>
      <c r="L269" s="6"/>
      <c r="M269" s="6"/>
      <c r="N269" s="6"/>
      <c r="O269" s="6"/>
      <c r="P269" s="6"/>
      <c r="Q269" s="6"/>
      <c r="R269" s="6"/>
      <c r="S269" s="6"/>
      <c r="T269" s="6"/>
      <c r="U269" s="6"/>
      <c r="V269" s="6"/>
      <c r="W269" s="6"/>
      <c r="X269" s="6"/>
      <c r="Y269" s="6"/>
      <c r="Z269" s="6"/>
    </row>
    <row r="270" ht="22.5" customHeight="1">
      <c r="A270" s="84">
        <v>201.0</v>
      </c>
      <c r="B270" s="90">
        <v>51561.0</v>
      </c>
      <c r="C270" s="80">
        <f t="shared" si="17"/>
        <v>348642.3875</v>
      </c>
      <c r="D270" s="80">
        <f t="shared" si="18"/>
        <v>4310.336825</v>
      </c>
      <c r="E270" s="80">
        <f t="shared" si="14"/>
        <v>1522.405092</v>
      </c>
      <c r="F270" s="80">
        <f t="shared" si="15"/>
        <v>2787.931733</v>
      </c>
      <c r="G270" s="81">
        <f t="shared" si="16"/>
        <v>345854.4557</v>
      </c>
      <c r="H270" s="6"/>
      <c r="I270" s="6"/>
      <c r="J270" s="6"/>
      <c r="K270" s="6"/>
      <c r="L270" s="6"/>
      <c r="M270" s="6"/>
      <c r="N270" s="6"/>
      <c r="O270" s="6"/>
      <c r="P270" s="6"/>
      <c r="Q270" s="6"/>
      <c r="R270" s="6"/>
      <c r="S270" s="6"/>
      <c r="T270" s="6"/>
      <c r="U270" s="6"/>
      <c r="V270" s="6"/>
      <c r="W270" s="6"/>
      <c r="X270" s="6"/>
      <c r="Y270" s="6"/>
      <c r="Z270" s="6"/>
    </row>
    <row r="271" ht="22.5" customHeight="1">
      <c r="A271" s="84">
        <v>202.0</v>
      </c>
      <c r="B271" s="90">
        <v>51592.0</v>
      </c>
      <c r="C271" s="80">
        <f t="shared" si="17"/>
        <v>345854.4557</v>
      </c>
      <c r="D271" s="80">
        <f t="shared" si="18"/>
        <v>4310.336825</v>
      </c>
      <c r="E271" s="80">
        <f t="shared" si="14"/>
        <v>1510.231123</v>
      </c>
      <c r="F271" s="80">
        <f t="shared" si="15"/>
        <v>2800.105701</v>
      </c>
      <c r="G271" s="81">
        <f t="shared" si="16"/>
        <v>343054.35</v>
      </c>
      <c r="H271" s="6"/>
      <c r="I271" s="6"/>
      <c r="J271" s="6"/>
      <c r="K271" s="6"/>
      <c r="L271" s="6"/>
      <c r="M271" s="6"/>
      <c r="N271" s="6"/>
      <c r="O271" s="6"/>
      <c r="P271" s="6"/>
      <c r="Q271" s="6"/>
      <c r="R271" s="6"/>
      <c r="S271" s="6"/>
      <c r="T271" s="6"/>
      <c r="U271" s="6"/>
      <c r="V271" s="6"/>
      <c r="W271" s="6"/>
      <c r="X271" s="6"/>
      <c r="Y271" s="6"/>
      <c r="Z271" s="6"/>
    </row>
    <row r="272" ht="22.5" customHeight="1">
      <c r="A272" s="84">
        <v>203.0</v>
      </c>
      <c r="B272" s="90">
        <v>51622.0</v>
      </c>
      <c r="C272" s="80">
        <f t="shared" si="17"/>
        <v>343054.35</v>
      </c>
      <c r="D272" s="80">
        <f t="shared" si="18"/>
        <v>4310.336825</v>
      </c>
      <c r="E272" s="80">
        <f t="shared" si="14"/>
        <v>1498.003995</v>
      </c>
      <c r="F272" s="80">
        <f t="shared" si="15"/>
        <v>2812.33283</v>
      </c>
      <c r="G272" s="81">
        <f t="shared" si="16"/>
        <v>340242.0172</v>
      </c>
      <c r="H272" s="6"/>
      <c r="I272" s="6"/>
      <c r="J272" s="6"/>
      <c r="K272" s="6"/>
      <c r="L272" s="6"/>
      <c r="M272" s="6"/>
      <c r="N272" s="6"/>
      <c r="O272" s="6"/>
      <c r="P272" s="6"/>
      <c r="Q272" s="6"/>
      <c r="R272" s="6"/>
      <c r="S272" s="6"/>
      <c r="T272" s="6"/>
      <c r="U272" s="6"/>
      <c r="V272" s="6"/>
      <c r="W272" s="6"/>
      <c r="X272" s="6"/>
      <c r="Y272" s="6"/>
      <c r="Z272" s="6"/>
    </row>
    <row r="273" ht="22.5" customHeight="1">
      <c r="A273" s="84">
        <v>204.0</v>
      </c>
      <c r="B273" s="90">
        <v>51653.0</v>
      </c>
      <c r="C273" s="80">
        <f t="shared" si="17"/>
        <v>340242.0172</v>
      </c>
      <c r="D273" s="80">
        <f t="shared" si="18"/>
        <v>4310.336825</v>
      </c>
      <c r="E273" s="80">
        <f t="shared" si="14"/>
        <v>1485.723475</v>
      </c>
      <c r="F273" s="80">
        <f t="shared" si="15"/>
        <v>2824.61335</v>
      </c>
      <c r="G273" s="81">
        <f t="shared" si="16"/>
        <v>337417.4039</v>
      </c>
      <c r="H273" s="6"/>
      <c r="I273" s="6"/>
      <c r="J273" s="6"/>
      <c r="K273" s="6"/>
      <c r="L273" s="6"/>
      <c r="M273" s="6"/>
      <c r="N273" s="6"/>
      <c r="O273" s="6"/>
      <c r="P273" s="6"/>
      <c r="Q273" s="6"/>
      <c r="R273" s="6"/>
      <c r="S273" s="6"/>
      <c r="T273" s="6"/>
      <c r="U273" s="6"/>
      <c r="V273" s="6"/>
      <c r="W273" s="6"/>
      <c r="X273" s="6"/>
      <c r="Y273" s="6"/>
      <c r="Z273" s="6"/>
    </row>
    <row r="274" ht="22.5" customHeight="1">
      <c r="A274" s="84">
        <v>205.0</v>
      </c>
      <c r="B274" s="90">
        <v>51683.0</v>
      </c>
      <c r="C274" s="80">
        <f t="shared" si="17"/>
        <v>337417.4039</v>
      </c>
      <c r="D274" s="80">
        <f t="shared" si="18"/>
        <v>4310.336825</v>
      </c>
      <c r="E274" s="80">
        <f t="shared" si="14"/>
        <v>1473.38933</v>
      </c>
      <c r="F274" s="80">
        <f t="shared" si="15"/>
        <v>2836.947495</v>
      </c>
      <c r="G274" s="81">
        <f t="shared" si="16"/>
        <v>334580.4564</v>
      </c>
      <c r="H274" s="6"/>
      <c r="I274" s="6"/>
      <c r="J274" s="6"/>
      <c r="K274" s="6"/>
      <c r="L274" s="6"/>
      <c r="M274" s="6"/>
      <c r="N274" s="6"/>
      <c r="O274" s="6"/>
      <c r="P274" s="6"/>
      <c r="Q274" s="6"/>
      <c r="R274" s="6"/>
      <c r="S274" s="6"/>
      <c r="T274" s="6"/>
      <c r="U274" s="6"/>
      <c r="V274" s="6"/>
      <c r="W274" s="6"/>
      <c r="X274" s="6"/>
      <c r="Y274" s="6"/>
      <c r="Z274" s="6"/>
    </row>
    <row r="275" ht="22.5" customHeight="1">
      <c r="A275" s="84">
        <v>206.0</v>
      </c>
      <c r="B275" s="90">
        <v>51714.0</v>
      </c>
      <c r="C275" s="80">
        <f t="shared" si="17"/>
        <v>334580.4564</v>
      </c>
      <c r="D275" s="80">
        <f t="shared" si="18"/>
        <v>4310.336825</v>
      </c>
      <c r="E275" s="80">
        <f t="shared" si="14"/>
        <v>1461.001326</v>
      </c>
      <c r="F275" s="80">
        <f t="shared" si="15"/>
        <v>2849.335499</v>
      </c>
      <c r="G275" s="81">
        <f t="shared" si="16"/>
        <v>331731.1209</v>
      </c>
      <c r="H275" s="6"/>
      <c r="I275" s="6"/>
      <c r="J275" s="6"/>
      <c r="K275" s="6"/>
      <c r="L275" s="6"/>
      <c r="M275" s="6"/>
      <c r="N275" s="6"/>
      <c r="O275" s="6"/>
      <c r="P275" s="6"/>
      <c r="Q275" s="6"/>
      <c r="R275" s="6"/>
      <c r="S275" s="6"/>
      <c r="T275" s="6"/>
      <c r="U275" s="6"/>
      <c r="V275" s="6"/>
      <c r="W275" s="6"/>
      <c r="X275" s="6"/>
      <c r="Y275" s="6"/>
      <c r="Z275" s="6"/>
    </row>
    <row r="276" ht="22.5" customHeight="1">
      <c r="A276" s="84">
        <v>207.0</v>
      </c>
      <c r="B276" s="90">
        <v>51745.0</v>
      </c>
      <c r="C276" s="80">
        <f t="shared" si="17"/>
        <v>331731.1209</v>
      </c>
      <c r="D276" s="80">
        <f t="shared" si="18"/>
        <v>4310.336825</v>
      </c>
      <c r="E276" s="80">
        <f t="shared" si="14"/>
        <v>1448.559228</v>
      </c>
      <c r="F276" s="80">
        <f t="shared" si="15"/>
        <v>2861.777597</v>
      </c>
      <c r="G276" s="81">
        <f t="shared" si="16"/>
        <v>328869.3433</v>
      </c>
      <c r="H276" s="6"/>
      <c r="I276" s="6"/>
      <c r="J276" s="6"/>
      <c r="K276" s="6"/>
      <c r="L276" s="6"/>
      <c r="M276" s="6"/>
      <c r="N276" s="6"/>
      <c r="O276" s="6"/>
      <c r="P276" s="6"/>
      <c r="Q276" s="6"/>
      <c r="R276" s="6"/>
      <c r="S276" s="6"/>
      <c r="T276" s="6"/>
      <c r="U276" s="6"/>
      <c r="V276" s="6"/>
      <c r="W276" s="6"/>
      <c r="X276" s="6"/>
      <c r="Y276" s="6"/>
      <c r="Z276" s="6"/>
    </row>
    <row r="277" ht="22.5" customHeight="1">
      <c r="A277" s="84">
        <v>208.0</v>
      </c>
      <c r="B277" s="90">
        <v>51775.0</v>
      </c>
      <c r="C277" s="80">
        <f t="shared" si="17"/>
        <v>328869.3433</v>
      </c>
      <c r="D277" s="80">
        <f t="shared" si="18"/>
        <v>4310.336825</v>
      </c>
      <c r="E277" s="80">
        <f t="shared" si="14"/>
        <v>1436.062799</v>
      </c>
      <c r="F277" s="80">
        <f t="shared" si="15"/>
        <v>2874.274026</v>
      </c>
      <c r="G277" s="81">
        <f t="shared" si="16"/>
        <v>325995.0692</v>
      </c>
      <c r="H277" s="6"/>
      <c r="I277" s="6"/>
      <c r="J277" s="6"/>
      <c r="K277" s="6"/>
      <c r="L277" s="6"/>
      <c r="M277" s="6"/>
      <c r="N277" s="6"/>
      <c r="O277" s="6"/>
      <c r="P277" s="6"/>
      <c r="Q277" s="6"/>
      <c r="R277" s="6"/>
      <c r="S277" s="6"/>
      <c r="T277" s="6"/>
      <c r="U277" s="6"/>
      <c r="V277" s="6"/>
      <c r="W277" s="6"/>
      <c r="X277" s="6"/>
      <c r="Y277" s="6"/>
      <c r="Z277" s="6"/>
    </row>
    <row r="278" ht="22.5" customHeight="1">
      <c r="A278" s="84">
        <v>209.0</v>
      </c>
      <c r="B278" s="90">
        <v>51806.0</v>
      </c>
      <c r="C278" s="80">
        <f t="shared" si="17"/>
        <v>325995.0692</v>
      </c>
      <c r="D278" s="80">
        <f t="shared" si="18"/>
        <v>4310.336825</v>
      </c>
      <c r="E278" s="80">
        <f t="shared" si="14"/>
        <v>1423.511802</v>
      </c>
      <c r="F278" s="80">
        <f t="shared" si="15"/>
        <v>2886.825022</v>
      </c>
      <c r="G278" s="81">
        <f t="shared" si="16"/>
        <v>323108.2442</v>
      </c>
      <c r="H278" s="6"/>
      <c r="I278" s="6"/>
      <c r="J278" s="6"/>
      <c r="K278" s="6"/>
      <c r="L278" s="6"/>
      <c r="M278" s="6"/>
      <c r="N278" s="6"/>
      <c r="O278" s="6"/>
      <c r="P278" s="6"/>
      <c r="Q278" s="6"/>
      <c r="R278" s="6"/>
      <c r="S278" s="6"/>
      <c r="T278" s="6"/>
      <c r="U278" s="6"/>
      <c r="V278" s="6"/>
      <c r="W278" s="6"/>
      <c r="X278" s="6"/>
      <c r="Y278" s="6"/>
      <c r="Z278" s="6"/>
    </row>
    <row r="279" ht="22.5" customHeight="1">
      <c r="A279" s="84">
        <v>210.0</v>
      </c>
      <c r="B279" s="90">
        <v>51836.0</v>
      </c>
      <c r="C279" s="80">
        <f t="shared" si="17"/>
        <v>323108.2442</v>
      </c>
      <c r="D279" s="80">
        <f t="shared" si="18"/>
        <v>4310.336825</v>
      </c>
      <c r="E279" s="80">
        <f t="shared" si="14"/>
        <v>1410.906</v>
      </c>
      <c r="F279" s="80">
        <f t="shared" si="15"/>
        <v>2899.430825</v>
      </c>
      <c r="G279" s="81">
        <f t="shared" si="16"/>
        <v>320208.8134</v>
      </c>
      <c r="H279" s="6"/>
      <c r="I279" s="6"/>
      <c r="J279" s="6"/>
      <c r="K279" s="6"/>
      <c r="L279" s="6"/>
      <c r="M279" s="6"/>
      <c r="N279" s="6"/>
      <c r="O279" s="6"/>
      <c r="P279" s="6"/>
      <c r="Q279" s="6"/>
      <c r="R279" s="6"/>
      <c r="S279" s="6"/>
      <c r="T279" s="6"/>
      <c r="U279" s="6"/>
      <c r="V279" s="6"/>
      <c r="W279" s="6"/>
      <c r="X279" s="6"/>
      <c r="Y279" s="6"/>
      <c r="Z279" s="6"/>
    </row>
    <row r="280" ht="22.5" customHeight="1">
      <c r="A280" s="84">
        <v>211.0</v>
      </c>
      <c r="B280" s="90">
        <v>51867.0</v>
      </c>
      <c r="C280" s="80">
        <f t="shared" si="17"/>
        <v>320208.8134</v>
      </c>
      <c r="D280" s="80">
        <f t="shared" si="18"/>
        <v>4310.336825</v>
      </c>
      <c r="E280" s="80">
        <f t="shared" si="14"/>
        <v>1398.245152</v>
      </c>
      <c r="F280" s="80">
        <f t="shared" si="15"/>
        <v>2912.091673</v>
      </c>
      <c r="G280" s="81">
        <f t="shared" si="16"/>
        <v>317296.7217</v>
      </c>
      <c r="H280" s="6"/>
      <c r="I280" s="6"/>
      <c r="J280" s="6"/>
      <c r="K280" s="6"/>
      <c r="L280" s="6"/>
      <c r="M280" s="6"/>
      <c r="N280" s="6"/>
      <c r="O280" s="6"/>
      <c r="P280" s="6"/>
      <c r="Q280" s="6"/>
      <c r="R280" s="6"/>
      <c r="S280" s="6"/>
      <c r="T280" s="6"/>
      <c r="U280" s="6"/>
      <c r="V280" s="6"/>
      <c r="W280" s="6"/>
      <c r="X280" s="6"/>
      <c r="Y280" s="6"/>
      <c r="Z280" s="6"/>
    </row>
    <row r="281" ht="22.5" customHeight="1">
      <c r="A281" s="84">
        <v>212.0</v>
      </c>
      <c r="B281" s="90">
        <v>51898.0</v>
      </c>
      <c r="C281" s="80">
        <f t="shared" si="17"/>
        <v>317296.7217</v>
      </c>
      <c r="D281" s="80">
        <f t="shared" si="18"/>
        <v>4310.336825</v>
      </c>
      <c r="E281" s="80">
        <f t="shared" si="14"/>
        <v>1385.529018</v>
      </c>
      <c r="F281" s="80">
        <f t="shared" si="15"/>
        <v>2924.807807</v>
      </c>
      <c r="G281" s="81">
        <f t="shared" si="16"/>
        <v>314371.9139</v>
      </c>
      <c r="H281" s="6"/>
      <c r="I281" s="6"/>
      <c r="J281" s="6"/>
      <c r="K281" s="6"/>
      <c r="L281" s="6"/>
      <c r="M281" s="6"/>
      <c r="N281" s="6"/>
      <c r="O281" s="6"/>
      <c r="P281" s="6"/>
      <c r="Q281" s="6"/>
      <c r="R281" s="6"/>
      <c r="S281" s="6"/>
      <c r="T281" s="6"/>
      <c r="U281" s="6"/>
      <c r="V281" s="6"/>
      <c r="W281" s="6"/>
      <c r="X281" s="6"/>
      <c r="Y281" s="6"/>
      <c r="Z281" s="6"/>
    </row>
    <row r="282" ht="22.5" customHeight="1">
      <c r="A282" s="84">
        <v>213.0</v>
      </c>
      <c r="B282" s="90">
        <v>51926.0</v>
      </c>
      <c r="C282" s="80">
        <f t="shared" si="17"/>
        <v>314371.9139</v>
      </c>
      <c r="D282" s="80">
        <f t="shared" si="18"/>
        <v>4310.336825</v>
      </c>
      <c r="E282" s="80">
        <f t="shared" si="14"/>
        <v>1372.757357</v>
      </c>
      <c r="F282" s="80">
        <f t="shared" si="15"/>
        <v>2937.579467</v>
      </c>
      <c r="G282" s="81">
        <f t="shared" si="16"/>
        <v>311434.3344</v>
      </c>
      <c r="H282" s="6"/>
      <c r="I282" s="6"/>
      <c r="J282" s="6"/>
      <c r="K282" s="6"/>
      <c r="L282" s="6"/>
      <c r="M282" s="6"/>
      <c r="N282" s="6"/>
      <c r="O282" s="6"/>
      <c r="P282" s="6"/>
      <c r="Q282" s="6"/>
      <c r="R282" s="6"/>
      <c r="S282" s="6"/>
      <c r="T282" s="6"/>
      <c r="U282" s="6"/>
      <c r="V282" s="6"/>
      <c r="W282" s="6"/>
      <c r="X282" s="6"/>
      <c r="Y282" s="6"/>
      <c r="Z282" s="6"/>
    </row>
    <row r="283" ht="22.5" customHeight="1">
      <c r="A283" s="84">
        <v>214.0</v>
      </c>
      <c r="B283" s="90">
        <v>51957.0</v>
      </c>
      <c r="C283" s="80">
        <f t="shared" si="17"/>
        <v>311434.3344</v>
      </c>
      <c r="D283" s="80">
        <f t="shared" si="18"/>
        <v>4310.336825</v>
      </c>
      <c r="E283" s="80">
        <f t="shared" si="14"/>
        <v>1359.929927</v>
      </c>
      <c r="F283" s="80">
        <f t="shared" si="15"/>
        <v>2950.406898</v>
      </c>
      <c r="G283" s="81">
        <f t="shared" si="16"/>
        <v>308483.9276</v>
      </c>
      <c r="H283" s="6"/>
      <c r="I283" s="6"/>
      <c r="J283" s="6"/>
      <c r="K283" s="6"/>
      <c r="L283" s="6"/>
      <c r="M283" s="6"/>
      <c r="N283" s="6"/>
      <c r="O283" s="6"/>
      <c r="P283" s="6"/>
      <c r="Q283" s="6"/>
      <c r="R283" s="6"/>
      <c r="S283" s="6"/>
      <c r="T283" s="6"/>
      <c r="U283" s="6"/>
      <c r="V283" s="6"/>
      <c r="W283" s="6"/>
      <c r="X283" s="6"/>
      <c r="Y283" s="6"/>
      <c r="Z283" s="6"/>
    </row>
    <row r="284" ht="22.5" customHeight="1">
      <c r="A284" s="84">
        <v>215.0</v>
      </c>
      <c r="B284" s="90">
        <v>51987.0</v>
      </c>
      <c r="C284" s="80">
        <f t="shared" si="17"/>
        <v>308483.9276</v>
      </c>
      <c r="D284" s="80">
        <f t="shared" si="18"/>
        <v>4310.336825</v>
      </c>
      <c r="E284" s="80">
        <f t="shared" si="14"/>
        <v>1347.046484</v>
      </c>
      <c r="F284" s="80">
        <f t="shared" si="15"/>
        <v>2963.290341</v>
      </c>
      <c r="G284" s="81">
        <f t="shared" si="16"/>
        <v>305520.6372</v>
      </c>
      <c r="H284" s="6"/>
      <c r="I284" s="6"/>
      <c r="J284" s="6"/>
      <c r="K284" s="6"/>
      <c r="L284" s="6"/>
      <c r="M284" s="6"/>
      <c r="N284" s="6"/>
      <c r="O284" s="6"/>
      <c r="P284" s="6"/>
      <c r="Q284" s="6"/>
      <c r="R284" s="6"/>
      <c r="S284" s="6"/>
      <c r="T284" s="6"/>
      <c r="U284" s="6"/>
      <c r="V284" s="6"/>
      <c r="W284" s="6"/>
      <c r="X284" s="6"/>
      <c r="Y284" s="6"/>
      <c r="Z284" s="6"/>
    </row>
    <row r="285" ht="22.5" customHeight="1">
      <c r="A285" s="84">
        <v>216.0</v>
      </c>
      <c r="B285" s="90">
        <v>52018.0</v>
      </c>
      <c r="C285" s="80">
        <f t="shared" si="17"/>
        <v>305520.6372</v>
      </c>
      <c r="D285" s="80">
        <f t="shared" si="18"/>
        <v>4310.336825</v>
      </c>
      <c r="E285" s="80">
        <f t="shared" si="14"/>
        <v>1334.106782</v>
      </c>
      <c r="F285" s="80">
        <f t="shared" si="15"/>
        <v>2976.230042</v>
      </c>
      <c r="G285" s="81">
        <f t="shared" si="16"/>
        <v>302544.4072</v>
      </c>
      <c r="H285" s="6"/>
      <c r="I285" s="6"/>
      <c r="J285" s="6"/>
      <c r="K285" s="6"/>
      <c r="L285" s="6"/>
      <c r="M285" s="6"/>
      <c r="N285" s="6"/>
      <c r="O285" s="6"/>
      <c r="P285" s="6"/>
      <c r="Q285" s="6"/>
      <c r="R285" s="6"/>
      <c r="S285" s="6"/>
      <c r="T285" s="6"/>
      <c r="U285" s="6"/>
      <c r="V285" s="6"/>
      <c r="W285" s="6"/>
      <c r="X285" s="6"/>
      <c r="Y285" s="6"/>
      <c r="Z285" s="6"/>
    </row>
    <row r="286" ht="22.5" customHeight="1">
      <c r="A286" s="84">
        <v>217.0</v>
      </c>
      <c r="B286" s="90">
        <v>52048.0</v>
      </c>
      <c r="C286" s="80">
        <f t="shared" si="17"/>
        <v>302544.4072</v>
      </c>
      <c r="D286" s="80">
        <f t="shared" si="18"/>
        <v>4310.336825</v>
      </c>
      <c r="E286" s="80">
        <f t="shared" si="14"/>
        <v>1321.110578</v>
      </c>
      <c r="F286" s="80">
        <f t="shared" si="15"/>
        <v>2989.226247</v>
      </c>
      <c r="G286" s="81">
        <f t="shared" si="16"/>
        <v>299555.1809</v>
      </c>
      <c r="H286" s="6"/>
      <c r="I286" s="6"/>
      <c r="J286" s="6"/>
      <c r="K286" s="6"/>
      <c r="L286" s="6"/>
      <c r="M286" s="6"/>
      <c r="N286" s="6"/>
      <c r="O286" s="6"/>
      <c r="P286" s="6"/>
      <c r="Q286" s="6"/>
      <c r="R286" s="6"/>
      <c r="S286" s="6"/>
      <c r="T286" s="6"/>
      <c r="U286" s="6"/>
      <c r="V286" s="6"/>
      <c r="W286" s="6"/>
      <c r="X286" s="6"/>
      <c r="Y286" s="6"/>
      <c r="Z286" s="6"/>
    </row>
    <row r="287" ht="22.5" customHeight="1">
      <c r="A287" s="84">
        <v>218.0</v>
      </c>
      <c r="B287" s="90">
        <v>52079.0</v>
      </c>
      <c r="C287" s="80">
        <f t="shared" si="17"/>
        <v>299555.1809</v>
      </c>
      <c r="D287" s="80">
        <f t="shared" si="18"/>
        <v>4310.336825</v>
      </c>
      <c r="E287" s="80">
        <f t="shared" si="14"/>
        <v>1308.057623</v>
      </c>
      <c r="F287" s="80">
        <f t="shared" si="15"/>
        <v>3002.279201</v>
      </c>
      <c r="G287" s="81">
        <f t="shared" si="16"/>
        <v>296552.9017</v>
      </c>
      <c r="H287" s="6"/>
      <c r="I287" s="6"/>
      <c r="J287" s="6"/>
      <c r="K287" s="6"/>
      <c r="L287" s="6"/>
      <c r="M287" s="6"/>
      <c r="N287" s="6"/>
      <c r="O287" s="6"/>
      <c r="P287" s="6"/>
      <c r="Q287" s="6"/>
      <c r="R287" s="6"/>
      <c r="S287" s="6"/>
      <c r="T287" s="6"/>
      <c r="U287" s="6"/>
      <c r="V287" s="6"/>
      <c r="W287" s="6"/>
      <c r="X287" s="6"/>
      <c r="Y287" s="6"/>
      <c r="Z287" s="6"/>
    </row>
    <row r="288" ht="22.5" customHeight="1">
      <c r="A288" s="84">
        <v>219.0</v>
      </c>
      <c r="B288" s="90">
        <v>52110.0</v>
      </c>
      <c r="C288" s="80">
        <f t="shared" si="17"/>
        <v>296552.9017</v>
      </c>
      <c r="D288" s="80">
        <f t="shared" si="18"/>
        <v>4310.336825</v>
      </c>
      <c r="E288" s="80">
        <f t="shared" si="14"/>
        <v>1294.947671</v>
      </c>
      <c r="F288" s="80">
        <f t="shared" si="15"/>
        <v>3015.389154</v>
      </c>
      <c r="G288" s="81">
        <f t="shared" si="16"/>
        <v>293537.5126</v>
      </c>
      <c r="H288" s="6"/>
      <c r="I288" s="6"/>
      <c r="J288" s="6"/>
      <c r="K288" s="6"/>
      <c r="L288" s="6"/>
      <c r="M288" s="6"/>
      <c r="N288" s="6"/>
      <c r="O288" s="6"/>
      <c r="P288" s="6"/>
      <c r="Q288" s="6"/>
      <c r="R288" s="6"/>
      <c r="S288" s="6"/>
      <c r="T288" s="6"/>
      <c r="U288" s="6"/>
      <c r="V288" s="6"/>
      <c r="W288" s="6"/>
      <c r="X288" s="6"/>
      <c r="Y288" s="6"/>
      <c r="Z288" s="6"/>
    </row>
    <row r="289" ht="22.5" customHeight="1">
      <c r="A289" s="84">
        <v>220.0</v>
      </c>
      <c r="B289" s="90">
        <v>52140.0</v>
      </c>
      <c r="C289" s="80">
        <f t="shared" si="17"/>
        <v>293537.5126</v>
      </c>
      <c r="D289" s="80">
        <f t="shared" si="18"/>
        <v>4310.336825</v>
      </c>
      <c r="E289" s="80">
        <f t="shared" si="14"/>
        <v>1281.780472</v>
      </c>
      <c r="F289" s="80">
        <f t="shared" si="15"/>
        <v>3028.556353</v>
      </c>
      <c r="G289" s="81">
        <f t="shared" si="16"/>
        <v>290508.9562</v>
      </c>
      <c r="H289" s="6"/>
      <c r="I289" s="6"/>
      <c r="J289" s="6"/>
      <c r="K289" s="6"/>
      <c r="L289" s="6"/>
      <c r="M289" s="6"/>
      <c r="N289" s="6"/>
      <c r="O289" s="6"/>
      <c r="P289" s="6"/>
      <c r="Q289" s="6"/>
      <c r="R289" s="6"/>
      <c r="S289" s="6"/>
      <c r="T289" s="6"/>
      <c r="U289" s="6"/>
      <c r="V289" s="6"/>
      <c r="W289" s="6"/>
      <c r="X289" s="6"/>
      <c r="Y289" s="6"/>
      <c r="Z289" s="6"/>
    </row>
    <row r="290" ht="22.5" customHeight="1">
      <c r="A290" s="84">
        <v>221.0</v>
      </c>
      <c r="B290" s="90">
        <v>52171.0</v>
      </c>
      <c r="C290" s="80">
        <f t="shared" si="17"/>
        <v>290508.9562</v>
      </c>
      <c r="D290" s="80">
        <f t="shared" si="18"/>
        <v>4310.336825</v>
      </c>
      <c r="E290" s="80">
        <f t="shared" si="14"/>
        <v>1268.555775</v>
      </c>
      <c r="F290" s="80">
        <f t="shared" si="15"/>
        <v>3041.781049</v>
      </c>
      <c r="G290" s="81">
        <f t="shared" si="16"/>
        <v>287467.1752</v>
      </c>
      <c r="H290" s="6"/>
      <c r="I290" s="6"/>
      <c r="J290" s="6"/>
      <c r="K290" s="6"/>
      <c r="L290" s="6"/>
      <c r="M290" s="6"/>
      <c r="N290" s="6"/>
      <c r="O290" s="6"/>
      <c r="P290" s="6"/>
      <c r="Q290" s="6"/>
      <c r="R290" s="6"/>
      <c r="S290" s="6"/>
      <c r="T290" s="6"/>
      <c r="U290" s="6"/>
      <c r="V290" s="6"/>
      <c r="W290" s="6"/>
      <c r="X290" s="6"/>
      <c r="Y290" s="6"/>
      <c r="Z290" s="6"/>
    </row>
    <row r="291" ht="22.5" customHeight="1">
      <c r="A291" s="84">
        <v>222.0</v>
      </c>
      <c r="B291" s="90">
        <v>52201.0</v>
      </c>
      <c r="C291" s="80">
        <f t="shared" si="17"/>
        <v>287467.1752</v>
      </c>
      <c r="D291" s="80">
        <f t="shared" si="18"/>
        <v>4310.336825</v>
      </c>
      <c r="E291" s="80">
        <f t="shared" si="14"/>
        <v>1255.273332</v>
      </c>
      <c r="F291" s="80">
        <f t="shared" si="15"/>
        <v>3055.063493</v>
      </c>
      <c r="G291" s="81">
        <f t="shared" si="16"/>
        <v>284412.1117</v>
      </c>
      <c r="H291" s="6"/>
      <c r="I291" s="6"/>
      <c r="J291" s="6"/>
      <c r="K291" s="6"/>
      <c r="L291" s="6"/>
      <c r="M291" s="6"/>
      <c r="N291" s="6"/>
      <c r="O291" s="6"/>
      <c r="P291" s="6"/>
      <c r="Q291" s="6"/>
      <c r="R291" s="6"/>
      <c r="S291" s="6"/>
      <c r="T291" s="6"/>
      <c r="U291" s="6"/>
      <c r="V291" s="6"/>
      <c r="W291" s="6"/>
      <c r="X291" s="6"/>
      <c r="Y291" s="6"/>
      <c r="Z291" s="6"/>
    </row>
    <row r="292" ht="22.5" customHeight="1">
      <c r="A292" s="84">
        <v>223.0</v>
      </c>
      <c r="B292" s="90">
        <v>52232.0</v>
      </c>
      <c r="C292" s="80">
        <f t="shared" si="17"/>
        <v>284412.1117</v>
      </c>
      <c r="D292" s="80">
        <f t="shared" si="18"/>
        <v>4310.336825</v>
      </c>
      <c r="E292" s="80">
        <f t="shared" si="14"/>
        <v>1241.932888</v>
      </c>
      <c r="F292" s="80">
        <f t="shared" si="15"/>
        <v>3068.403937</v>
      </c>
      <c r="G292" s="81">
        <f t="shared" si="16"/>
        <v>281343.7077</v>
      </c>
      <c r="H292" s="6"/>
      <c r="I292" s="6"/>
      <c r="J292" s="6"/>
      <c r="K292" s="6"/>
      <c r="L292" s="6"/>
      <c r="M292" s="6"/>
      <c r="N292" s="6"/>
      <c r="O292" s="6"/>
      <c r="P292" s="6"/>
      <c r="Q292" s="6"/>
      <c r="R292" s="6"/>
      <c r="S292" s="6"/>
      <c r="T292" s="6"/>
      <c r="U292" s="6"/>
      <c r="V292" s="6"/>
      <c r="W292" s="6"/>
      <c r="X292" s="6"/>
      <c r="Y292" s="6"/>
      <c r="Z292" s="6"/>
    </row>
    <row r="293" ht="22.5" customHeight="1">
      <c r="A293" s="84">
        <v>224.0</v>
      </c>
      <c r="B293" s="90">
        <v>52263.0</v>
      </c>
      <c r="C293" s="80">
        <f t="shared" si="17"/>
        <v>281343.7077</v>
      </c>
      <c r="D293" s="80">
        <f t="shared" si="18"/>
        <v>4310.336825</v>
      </c>
      <c r="E293" s="80">
        <f t="shared" si="14"/>
        <v>1228.53419</v>
      </c>
      <c r="F293" s="80">
        <f t="shared" si="15"/>
        <v>3081.802634</v>
      </c>
      <c r="G293" s="81">
        <f t="shared" si="16"/>
        <v>278261.9051</v>
      </c>
      <c r="H293" s="6"/>
      <c r="I293" s="6"/>
      <c r="J293" s="6"/>
      <c r="K293" s="6"/>
      <c r="L293" s="6"/>
      <c r="M293" s="6"/>
      <c r="N293" s="6"/>
      <c r="O293" s="6"/>
      <c r="P293" s="6"/>
      <c r="Q293" s="6"/>
      <c r="R293" s="6"/>
      <c r="S293" s="6"/>
      <c r="T293" s="6"/>
      <c r="U293" s="6"/>
      <c r="V293" s="6"/>
      <c r="W293" s="6"/>
      <c r="X293" s="6"/>
      <c r="Y293" s="6"/>
      <c r="Z293" s="6"/>
    </row>
    <row r="294" ht="22.5" customHeight="1">
      <c r="A294" s="84">
        <v>225.0</v>
      </c>
      <c r="B294" s="90">
        <v>52291.0</v>
      </c>
      <c r="C294" s="80">
        <f t="shared" si="17"/>
        <v>278261.9051</v>
      </c>
      <c r="D294" s="80">
        <f t="shared" si="18"/>
        <v>4310.336825</v>
      </c>
      <c r="E294" s="80">
        <f t="shared" si="14"/>
        <v>1215.076986</v>
      </c>
      <c r="F294" s="80">
        <f t="shared" si="15"/>
        <v>3095.259839</v>
      </c>
      <c r="G294" s="81">
        <f t="shared" si="16"/>
        <v>275166.6453</v>
      </c>
      <c r="H294" s="6"/>
      <c r="I294" s="6"/>
      <c r="J294" s="6"/>
      <c r="K294" s="6"/>
      <c r="L294" s="6"/>
      <c r="M294" s="6"/>
      <c r="N294" s="6"/>
      <c r="O294" s="6"/>
      <c r="P294" s="6"/>
      <c r="Q294" s="6"/>
      <c r="R294" s="6"/>
      <c r="S294" s="6"/>
      <c r="T294" s="6"/>
      <c r="U294" s="6"/>
      <c r="V294" s="6"/>
      <c r="W294" s="6"/>
      <c r="X294" s="6"/>
      <c r="Y294" s="6"/>
      <c r="Z294" s="6"/>
    </row>
    <row r="295" ht="22.5" customHeight="1">
      <c r="A295" s="84">
        <v>226.0</v>
      </c>
      <c r="B295" s="90">
        <v>52322.0</v>
      </c>
      <c r="C295" s="80">
        <f t="shared" si="17"/>
        <v>275166.6453</v>
      </c>
      <c r="D295" s="80">
        <f t="shared" si="18"/>
        <v>4310.336825</v>
      </c>
      <c r="E295" s="80">
        <f t="shared" si="14"/>
        <v>1201.561018</v>
      </c>
      <c r="F295" s="80">
        <f t="shared" si="15"/>
        <v>3108.775807</v>
      </c>
      <c r="G295" s="81">
        <f t="shared" si="16"/>
        <v>272057.8695</v>
      </c>
      <c r="H295" s="6"/>
      <c r="I295" s="6"/>
      <c r="J295" s="6"/>
      <c r="K295" s="6"/>
      <c r="L295" s="6"/>
      <c r="M295" s="6"/>
      <c r="N295" s="6"/>
      <c r="O295" s="6"/>
      <c r="P295" s="6"/>
      <c r="Q295" s="6"/>
      <c r="R295" s="6"/>
      <c r="S295" s="6"/>
      <c r="T295" s="6"/>
      <c r="U295" s="6"/>
      <c r="V295" s="6"/>
      <c r="W295" s="6"/>
      <c r="X295" s="6"/>
      <c r="Y295" s="6"/>
      <c r="Z295" s="6"/>
    </row>
    <row r="296" ht="22.5" customHeight="1">
      <c r="A296" s="84">
        <v>227.0</v>
      </c>
      <c r="B296" s="90">
        <v>52352.0</v>
      </c>
      <c r="C296" s="80">
        <f t="shared" si="17"/>
        <v>272057.8695</v>
      </c>
      <c r="D296" s="80">
        <f t="shared" si="18"/>
        <v>4310.336825</v>
      </c>
      <c r="E296" s="80">
        <f t="shared" si="14"/>
        <v>1187.98603</v>
      </c>
      <c r="F296" s="80">
        <f t="shared" si="15"/>
        <v>3122.350795</v>
      </c>
      <c r="G296" s="81">
        <f t="shared" si="16"/>
        <v>268935.5187</v>
      </c>
      <c r="H296" s="6"/>
      <c r="I296" s="6"/>
      <c r="J296" s="6"/>
      <c r="K296" s="6"/>
      <c r="L296" s="6"/>
      <c r="M296" s="6"/>
      <c r="N296" s="6"/>
      <c r="O296" s="6"/>
      <c r="P296" s="6"/>
      <c r="Q296" s="6"/>
      <c r="R296" s="6"/>
      <c r="S296" s="6"/>
      <c r="T296" s="6"/>
      <c r="U296" s="6"/>
      <c r="V296" s="6"/>
      <c r="W296" s="6"/>
      <c r="X296" s="6"/>
      <c r="Y296" s="6"/>
      <c r="Z296" s="6"/>
    </row>
    <row r="297" ht="22.5" customHeight="1">
      <c r="A297" s="84">
        <v>228.0</v>
      </c>
      <c r="B297" s="90">
        <v>52383.0</v>
      </c>
      <c r="C297" s="80">
        <f t="shared" si="17"/>
        <v>268935.5187</v>
      </c>
      <c r="D297" s="80">
        <f t="shared" si="18"/>
        <v>4310.336825</v>
      </c>
      <c r="E297" s="80">
        <f t="shared" si="14"/>
        <v>1174.351765</v>
      </c>
      <c r="F297" s="80">
        <f t="shared" si="15"/>
        <v>3135.98506</v>
      </c>
      <c r="G297" s="81">
        <f t="shared" si="16"/>
        <v>265799.5336</v>
      </c>
      <c r="H297" s="6"/>
      <c r="I297" s="6"/>
      <c r="J297" s="6"/>
      <c r="K297" s="6"/>
      <c r="L297" s="6"/>
      <c r="M297" s="6"/>
      <c r="N297" s="6"/>
      <c r="O297" s="6"/>
      <c r="P297" s="6"/>
      <c r="Q297" s="6"/>
      <c r="R297" s="6"/>
      <c r="S297" s="6"/>
      <c r="T297" s="6"/>
      <c r="U297" s="6"/>
      <c r="V297" s="6"/>
      <c r="W297" s="6"/>
      <c r="X297" s="6"/>
      <c r="Y297" s="6"/>
      <c r="Z297" s="6"/>
    </row>
    <row r="298" ht="22.5" customHeight="1">
      <c r="A298" s="84">
        <v>229.0</v>
      </c>
      <c r="B298" s="90">
        <v>52413.0</v>
      </c>
      <c r="C298" s="80">
        <f t="shared" si="17"/>
        <v>265799.5336</v>
      </c>
      <c r="D298" s="80">
        <f t="shared" si="18"/>
        <v>4310.336825</v>
      </c>
      <c r="E298" s="80">
        <f t="shared" si="14"/>
        <v>1160.657963</v>
      </c>
      <c r="F298" s="80">
        <f t="shared" si="15"/>
        <v>3149.678861</v>
      </c>
      <c r="G298" s="81">
        <f t="shared" si="16"/>
        <v>262649.8547</v>
      </c>
      <c r="H298" s="6"/>
      <c r="I298" s="6"/>
      <c r="J298" s="6"/>
      <c r="K298" s="6"/>
      <c r="L298" s="6"/>
      <c r="M298" s="6"/>
      <c r="N298" s="6"/>
      <c r="O298" s="6"/>
      <c r="P298" s="6"/>
      <c r="Q298" s="6"/>
      <c r="R298" s="6"/>
      <c r="S298" s="6"/>
      <c r="T298" s="6"/>
      <c r="U298" s="6"/>
      <c r="V298" s="6"/>
      <c r="W298" s="6"/>
      <c r="X298" s="6"/>
      <c r="Y298" s="6"/>
      <c r="Z298" s="6"/>
    </row>
    <row r="299" ht="22.5" customHeight="1">
      <c r="A299" s="84">
        <v>230.0</v>
      </c>
      <c r="B299" s="90">
        <v>52444.0</v>
      </c>
      <c r="C299" s="80">
        <f t="shared" si="17"/>
        <v>262649.8547</v>
      </c>
      <c r="D299" s="80">
        <f t="shared" si="18"/>
        <v>4310.336825</v>
      </c>
      <c r="E299" s="80">
        <f t="shared" si="14"/>
        <v>1146.904366</v>
      </c>
      <c r="F299" s="80">
        <f t="shared" si="15"/>
        <v>3163.432459</v>
      </c>
      <c r="G299" s="81">
        <f t="shared" si="16"/>
        <v>259486.4223</v>
      </c>
      <c r="H299" s="6"/>
      <c r="I299" s="6"/>
      <c r="J299" s="6"/>
      <c r="K299" s="6"/>
      <c r="L299" s="6"/>
      <c r="M299" s="6"/>
      <c r="N299" s="6"/>
      <c r="O299" s="6"/>
      <c r="P299" s="6"/>
      <c r="Q299" s="6"/>
      <c r="R299" s="6"/>
      <c r="S299" s="6"/>
      <c r="T299" s="6"/>
      <c r="U299" s="6"/>
      <c r="V299" s="6"/>
      <c r="W299" s="6"/>
      <c r="X299" s="6"/>
      <c r="Y299" s="6"/>
      <c r="Z299" s="6"/>
    </row>
    <row r="300" ht="22.5" customHeight="1">
      <c r="A300" s="84">
        <v>231.0</v>
      </c>
      <c r="B300" s="90">
        <v>52475.0</v>
      </c>
      <c r="C300" s="80">
        <f t="shared" si="17"/>
        <v>259486.4223</v>
      </c>
      <c r="D300" s="80">
        <f t="shared" si="18"/>
        <v>4310.336825</v>
      </c>
      <c r="E300" s="80">
        <f t="shared" si="14"/>
        <v>1133.090711</v>
      </c>
      <c r="F300" s="80">
        <f t="shared" si="15"/>
        <v>3177.246114</v>
      </c>
      <c r="G300" s="81">
        <f t="shared" si="16"/>
        <v>256309.1762</v>
      </c>
      <c r="H300" s="6"/>
      <c r="I300" s="6"/>
      <c r="J300" s="6"/>
      <c r="K300" s="6"/>
      <c r="L300" s="6"/>
      <c r="M300" s="6"/>
      <c r="N300" s="6"/>
      <c r="O300" s="6"/>
      <c r="P300" s="6"/>
      <c r="Q300" s="6"/>
      <c r="R300" s="6"/>
      <c r="S300" s="6"/>
      <c r="T300" s="6"/>
      <c r="U300" s="6"/>
      <c r="V300" s="6"/>
      <c r="W300" s="6"/>
      <c r="X300" s="6"/>
      <c r="Y300" s="6"/>
      <c r="Z300" s="6"/>
    </row>
    <row r="301" ht="22.5" customHeight="1">
      <c r="A301" s="84">
        <v>232.0</v>
      </c>
      <c r="B301" s="90">
        <v>52505.0</v>
      </c>
      <c r="C301" s="80">
        <f t="shared" si="17"/>
        <v>256309.1762</v>
      </c>
      <c r="D301" s="80">
        <f t="shared" si="18"/>
        <v>4310.336825</v>
      </c>
      <c r="E301" s="80">
        <f t="shared" si="14"/>
        <v>1119.216736</v>
      </c>
      <c r="F301" s="80">
        <f t="shared" si="15"/>
        <v>3191.120089</v>
      </c>
      <c r="G301" s="81">
        <f t="shared" si="16"/>
        <v>253118.0561</v>
      </c>
      <c r="H301" s="6"/>
      <c r="I301" s="6"/>
      <c r="J301" s="6"/>
      <c r="K301" s="6"/>
      <c r="L301" s="6"/>
      <c r="M301" s="6"/>
      <c r="N301" s="6"/>
      <c r="O301" s="6"/>
      <c r="P301" s="6"/>
      <c r="Q301" s="6"/>
      <c r="R301" s="6"/>
      <c r="S301" s="6"/>
      <c r="T301" s="6"/>
      <c r="U301" s="6"/>
      <c r="V301" s="6"/>
      <c r="W301" s="6"/>
      <c r="X301" s="6"/>
      <c r="Y301" s="6"/>
      <c r="Z301" s="6"/>
    </row>
    <row r="302" ht="22.5" customHeight="1">
      <c r="A302" s="84">
        <v>233.0</v>
      </c>
      <c r="B302" s="90">
        <v>52536.0</v>
      </c>
      <c r="C302" s="80">
        <f t="shared" si="17"/>
        <v>253118.0561</v>
      </c>
      <c r="D302" s="80">
        <f t="shared" si="18"/>
        <v>4310.336825</v>
      </c>
      <c r="E302" s="80">
        <f t="shared" si="14"/>
        <v>1105.282178</v>
      </c>
      <c r="F302" s="80">
        <f t="shared" si="15"/>
        <v>3205.054647</v>
      </c>
      <c r="G302" s="81">
        <f t="shared" si="16"/>
        <v>249913.0014</v>
      </c>
      <c r="H302" s="6"/>
      <c r="I302" s="6"/>
      <c r="J302" s="6"/>
      <c r="K302" s="6"/>
      <c r="L302" s="6"/>
      <c r="M302" s="6"/>
      <c r="N302" s="6"/>
      <c r="O302" s="6"/>
      <c r="P302" s="6"/>
      <c r="Q302" s="6"/>
      <c r="R302" s="6"/>
      <c r="S302" s="6"/>
      <c r="T302" s="6"/>
      <c r="U302" s="6"/>
      <c r="V302" s="6"/>
      <c r="W302" s="6"/>
      <c r="X302" s="6"/>
      <c r="Y302" s="6"/>
      <c r="Z302" s="6"/>
    </row>
    <row r="303" ht="22.5" customHeight="1">
      <c r="A303" s="84">
        <v>234.0</v>
      </c>
      <c r="B303" s="90">
        <v>52566.0</v>
      </c>
      <c r="C303" s="80">
        <f t="shared" si="17"/>
        <v>249913.0014</v>
      </c>
      <c r="D303" s="80">
        <f t="shared" si="18"/>
        <v>4310.336825</v>
      </c>
      <c r="E303" s="80">
        <f t="shared" si="14"/>
        <v>1091.286773</v>
      </c>
      <c r="F303" s="80">
        <f t="shared" si="15"/>
        <v>3219.050052</v>
      </c>
      <c r="G303" s="81">
        <f t="shared" si="16"/>
        <v>246693.9514</v>
      </c>
      <c r="H303" s="6"/>
      <c r="I303" s="6"/>
      <c r="J303" s="6"/>
      <c r="K303" s="6"/>
      <c r="L303" s="6"/>
      <c r="M303" s="6"/>
      <c r="N303" s="6"/>
      <c r="O303" s="6"/>
      <c r="P303" s="6"/>
      <c r="Q303" s="6"/>
      <c r="R303" s="6"/>
      <c r="S303" s="6"/>
      <c r="T303" s="6"/>
      <c r="U303" s="6"/>
      <c r="V303" s="6"/>
      <c r="W303" s="6"/>
      <c r="X303" s="6"/>
      <c r="Y303" s="6"/>
      <c r="Z303" s="6"/>
    </row>
    <row r="304" ht="22.5" customHeight="1">
      <c r="A304" s="84">
        <v>235.0</v>
      </c>
      <c r="B304" s="90">
        <v>52597.0</v>
      </c>
      <c r="C304" s="80">
        <f t="shared" si="17"/>
        <v>246693.9514</v>
      </c>
      <c r="D304" s="80">
        <f t="shared" si="18"/>
        <v>4310.336825</v>
      </c>
      <c r="E304" s="80">
        <f t="shared" si="14"/>
        <v>1077.230254</v>
      </c>
      <c r="F304" s="80">
        <f t="shared" si="15"/>
        <v>3233.10657</v>
      </c>
      <c r="G304" s="81">
        <f t="shared" si="16"/>
        <v>243460.8448</v>
      </c>
      <c r="H304" s="6"/>
      <c r="I304" s="6"/>
      <c r="J304" s="6"/>
      <c r="K304" s="6"/>
      <c r="L304" s="6"/>
      <c r="M304" s="6"/>
      <c r="N304" s="6"/>
      <c r="O304" s="6"/>
      <c r="P304" s="6"/>
      <c r="Q304" s="6"/>
      <c r="R304" s="6"/>
      <c r="S304" s="6"/>
      <c r="T304" s="6"/>
      <c r="U304" s="6"/>
      <c r="V304" s="6"/>
      <c r="W304" s="6"/>
      <c r="X304" s="6"/>
      <c r="Y304" s="6"/>
      <c r="Z304" s="6"/>
    </row>
    <row r="305" ht="22.5" customHeight="1">
      <c r="A305" s="84">
        <v>236.0</v>
      </c>
      <c r="B305" s="90">
        <v>52628.0</v>
      </c>
      <c r="C305" s="80">
        <f t="shared" si="17"/>
        <v>243460.8448</v>
      </c>
      <c r="D305" s="80">
        <f t="shared" si="18"/>
        <v>4310.336825</v>
      </c>
      <c r="E305" s="80">
        <f t="shared" si="14"/>
        <v>1063.112356</v>
      </c>
      <c r="F305" s="80">
        <f t="shared" si="15"/>
        <v>3247.224469</v>
      </c>
      <c r="G305" s="81">
        <f t="shared" si="16"/>
        <v>240213.6203</v>
      </c>
      <c r="H305" s="6"/>
      <c r="I305" s="6"/>
      <c r="J305" s="6"/>
      <c r="K305" s="6"/>
      <c r="L305" s="6"/>
      <c r="M305" s="6"/>
      <c r="N305" s="6"/>
      <c r="O305" s="6"/>
      <c r="P305" s="6"/>
      <c r="Q305" s="6"/>
      <c r="R305" s="6"/>
      <c r="S305" s="6"/>
      <c r="T305" s="6"/>
      <c r="U305" s="6"/>
      <c r="V305" s="6"/>
      <c r="W305" s="6"/>
      <c r="X305" s="6"/>
      <c r="Y305" s="6"/>
      <c r="Z305" s="6"/>
    </row>
    <row r="306" ht="22.5" customHeight="1">
      <c r="A306" s="84">
        <v>237.0</v>
      </c>
      <c r="B306" s="90">
        <v>52657.0</v>
      </c>
      <c r="C306" s="80">
        <f t="shared" si="17"/>
        <v>240213.6203</v>
      </c>
      <c r="D306" s="80">
        <f t="shared" si="18"/>
        <v>4310.336825</v>
      </c>
      <c r="E306" s="80">
        <f t="shared" si="14"/>
        <v>1048.932809</v>
      </c>
      <c r="F306" s="80">
        <f t="shared" si="15"/>
        <v>3261.404016</v>
      </c>
      <c r="G306" s="81">
        <f t="shared" si="16"/>
        <v>236952.2163</v>
      </c>
      <c r="H306" s="6"/>
      <c r="I306" s="6"/>
      <c r="J306" s="6"/>
      <c r="K306" s="6"/>
      <c r="L306" s="6"/>
      <c r="M306" s="6"/>
      <c r="N306" s="6"/>
      <c r="O306" s="6"/>
      <c r="P306" s="6"/>
      <c r="Q306" s="6"/>
      <c r="R306" s="6"/>
      <c r="S306" s="6"/>
      <c r="T306" s="6"/>
      <c r="U306" s="6"/>
      <c r="V306" s="6"/>
      <c r="W306" s="6"/>
      <c r="X306" s="6"/>
      <c r="Y306" s="6"/>
      <c r="Z306" s="6"/>
    </row>
    <row r="307" ht="22.5" customHeight="1">
      <c r="A307" s="84">
        <v>238.0</v>
      </c>
      <c r="B307" s="90">
        <v>52688.0</v>
      </c>
      <c r="C307" s="80">
        <f t="shared" si="17"/>
        <v>236952.2163</v>
      </c>
      <c r="D307" s="80">
        <f t="shared" si="18"/>
        <v>4310.336825</v>
      </c>
      <c r="E307" s="80">
        <f t="shared" si="14"/>
        <v>1034.691345</v>
      </c>
      <c r="F307" s="80">
        <f t="shared" si="15"/>
        <v>3275.64548</v>
      </c>
      <c r="G307" s="81">
        <f t="shared" si="16"/>
        <v>233676.5708</v>
      </c>
      <c r="H307" s="6"/>
      <c r="I307" s="6"/>
      <c r="J307" s="6"/>
      <c r="K307" s="6"/>
      <c r="L307" s="6"/>
      <c r="M307" s="6"/>
      <c r="N307" s="6"/>
      <c r="O307" s="6"/>
      <c r="P307" s="6"/>
      <c r="Q307" s="6"/>
      <c r="R307" s="6"/>
      <c r="S307" s="6"/>
      <c r="T307" s="6"/>
      <c r="U307" s="6"/>
      <c r="V307" s="6"/>
      <c r="W307" s="6"/>
      <c r="X307" s="6"/>
      <c r="Y307" s="6"/>
      <c r="Z307" s="6"/>
    </row>
    <row r="308" ht="22.5" customHeight="1">
      <c r="A308" s="84">
        <v>239.0</v>
      </c>
      <c r="B308" s="90">
        <v>52718.0</v>
      </c>
      <c r="C308" s="80">
        <f t="shared" si="17"/>
        <v>233676.5708</v>
      </c>
      <c r="D308" s="80">
        <f t="shared" si="18"/>
        <v>4310.336825</v>
      </c>
      <c r="E308" s="80">
        <f t="shared" si="14"/>
        <v>1020.387693</v>
      </c>
      <c r="F308" s="80">
        <f t="shared" si="15"/>
        <v>3289.949132</v>
      </c>
      <c r="G308" s="81">
        <f t="shared" si="16"/>
        <v>230386.6217</v>
      </c>
      <c r="H308" s="6"/>
      <c r="I308" s="6"/>
      <c r="J308" s="6"/>
      <c r="K308" s="6"/>
      <c r="L308" s="6"/>
      <c r="M308" s="6"/>
      <c r="N308" s="6"/>
      <c r="O308" s="6"/>
      <c r="P308" s="6"/>
      <c r="Q308" s="6"/>
      <c r="R308" s="6"/>
      <c r="S308" s="6"/>
      <c r="T308" s="6"/>
      <c r="U308" s="6"/>
      <c r="V308" s="6"/>
      <c r="W308" s="6"/>
      <c r="X308" s="6"/>
      <c r="Y308" s="6"/>
      <c r="Z308" s="6"/>
    </row>
    <row r="309" ht="22.5" customHeight="1">
      <c r="A309" s="84">
        <v>240.0</v>
      </c>
      <c r="B309" s="90">
        <v>52749.0</v>
      </c>
      <c r="C309" s="80">
        <f t="shared" si="17"/>
        <v>230386.6217</v>
      </c>
      <c r="D309" s="80">
        <f t="shared" si="18"/>
        <v>4310.336825</v>
      </c>
      <c r="E309" s="80">
        <f t="shared" si="14"/>
        <v>1006.021581</v>
      </c>
      <c r="F309" s="80">
        <f t="shared" si="15"/>
        <v>3304.315243</v>
      </c>
      <c r="G309" s="81">
        <f t="shared" si="16"/>
        <v>227082.3065</v>
      </c>
      <c r="H309" s="6"/>
      <c r="I309" s="6"/>
      <c r="J309" s="6"/>
      <c r="K309" s="6"/>
      <c r="L309" s="6"/>
      <c r="M309" s="6"/>
      <c r="N309" s="6"/>
      <c r="O309" s="6"/>
      <c r="P309" s="6"/>
      <c r="Q309" s="6"/>
      <c r="R309" s="6"/>
      <c r="S309" s="6"/>
      <c r="T309" s="6"/>
      <c r="U309" s="6"/>
      <c r="V309" s="6"/>
      <c r="W309" s="6"/>
      <c r="X309" s="6"/>
      <c r="Y309" s="6"/>
      <c r="Z309" s="6"/>
    </row>
    <row r="310" ht="22.5" customHeight="1">
      <c r="A310" s="84">
        <v>241.0</v>
      </c>
      <c r="B310" s="90">
        <v>52779.0</v>
      </c>
      <c r="C310" s="80">
        <f t="shared" si="17"/>
        <v>227082.3065</v>
      </c>
      <c r="D310" s="80">
        <f t="shared" si="18"/>
        <v>4310.336825</v>
      </c>
      <c r="E310" s="80">
        <f t="shared" si="14"/>
        <v>991.5927382</v>
      </c>
      <c r="F310" s="80">
        <f t="shared" si="15"/>
        <v>3318.744087</v>
      </c>
      <c r="G310" s="81">
        <f t="shared" si="16"/>
        <v>223763.5624</v>
      </c>
      <c r="H310" s="6"/>
      <c r="I310" s="6"/>
      <c r="J310" s="6"/>
      <c r="K310" s="6"/>
      <c r="L310" s="6"/>
      <c r="M310" s="6"/>
      <c r="N310" s="6"/>
      <c r="O310" s="6"/>
      <c r="P310" s="6"/>
      <c r="Q310" s="6"/>
      <c r="R310" s="6"/>
      <c r="S310" s="6"/>
      <c r="T310" s="6"/>
      <c r="U310" s="6"/>
      <c r="V310" s="6"/>
      <c r="W310" s="6"/>
      <c r="X310" s="6"/>
      <c r="Y310" s="6"/>
      <c r="Z310" s="6"/>
    </row>
    <row r="311" ht="22.5" customHeight="1">
      <c r="A311" s="84">
        <v>242.0</v>
      </c>
      <c r="B311" s="90">
        <v>52810.0</v>
      </c>
      <c r="C311" s="80">
        <f t="shared" si="17"/>
        <v>223763.5624</v>
      </c>
      <c r="D311" s="80">
        <f t="shared" si="18"/>
        <v>4310.336825</v>
      </c>
      <c r="E311" s="80">
        <f t="shared" si="14"/>
        <v>977.100889</v>
      </c>
      <c r="F311" s="80">
        <f t="shared" si="15"/>
        <v>3333.235936</v>
      </c>
      <c r="G311" s="81">
        <f t="shared" si="16"/>
        <v>220430.3264</v>
      </c>
      <c r="H311" s="6"/>
      <c r="I311" s="6"/>
      <c r="J311" s="6"/>
      <c r="K311" s="6"/>
      <c r="L311" s="6"/>
      <c r="M311" s="6"/>
      <c r="N311" s="6"/>
      <c r="O311" s="6"/>
      <c r="P311" s="6"/>
      <c r="Q311" s="6"/>
      <c r="R311" s="6"/>
      <c r="S311" s="6"/>
      <c r="T311" s="6"/>
      <c r="U311" s="6"/>
      <c r="V311" s="6"/>
      <c r="W311" s="6"/>
      <c r="X311" s="6"/>
      <c r="Y311" s="6"/>
      <c r="Z311" s="6"/>
    </row>
    <row r="312" ht="22.5" customHeight="1">
      <c r="A312" s="84">
        <v>243.0</v>
      </c>
      <c r="B312" s="90">
        <v>52841.0</v>
      </c>
      <c r="C312" s="80">
        <f t="shared" si="17"/>
        <v>220430.3264</v>
      </c>
      <c r="D312" s="80">
        <f t="shared" si="18"/>
        <v>4310.336825</v>
      </c>
      <c r="E312" s="80">
        <f t="shared" si="14"/>
        <v>962.5457588</v>
      </c>
      <c r="F312" s="80">
        <f t="shared" si="15"/>
        <v>3347.791066</v>
      </c>
      <c r="G312" s="81">
        <f t="shared" si="16"/>
        <v>217082.5354</v>
      </c>
      <c r="H312" s="6"/>
      <c r="I312" s="6"/>
      <c r="J312" s="6"/>
      <c r="K312" s="6"/>
      <c r="L312" s="6"/>
      <c r="M312" s="6"/>
      <c r="N312" s="6"/>
      <c r="O312" s="6"/>
      <c r="P312" s="6"/>
      <c r="Q312" s="6"/>
      <c r="R312" s="6"/>
      <c r="S312" s="6"/>
      <c r="T312" s="6"/>
      <c r="U312" s="6"/>
      <c r="V312" s="6"/>
      <c r="W312" s="6"/>
      <c r="X312" s="6"/>
      <c r="Y312" s="6"/>
      <c r="Z312" s="6"/>
    </row>
    <row r="313" ht="22.5" customHeight="1">
      <c r="A313" s="84">
        <v>244.0</v>
      </c>
      <c r="B313" s="90">
        <v>52871.0</v>
      </c>
      <c r="C313" s="80">
        <f t="shared" si="17"/>
        <v>217082.5354</v>
      </c>
      <c r="D313" s="80">
        <f t="shared" si="18"/>
        <v>4310.336825</v>
      </c>
      <c r="E313" s="80">
        <f t="shared" si="14"/>
        <v>947.9270711</v>
      </c>
      <c r="F313" s="80">
        <f t="shared" si="15"/>
        <v>3362.409754</v>
      </c>
      <c r="G313" s="81">
        <f t="shared" si="16"/>
        <v>213720.1256</v>
      </c>
      <c r="H313" s="6"/>
      <c r="I313" s="6"/>
      <c r="J313" s="6"/>
      <c r="K313" s="6"/>
      <c r="L313" s="6"/>
      <c r="M313" s="6"/>
      <c r="N313" s="6"/>
      <c r="O313" s="6"/>
      <c r="P313" s="6"/>
      <c r="Q313" s="6"/>
      <c r="R313" s="6"/>
      <c r="S313" s="6"/>
      <c r="T313" s="6"/>
      <c r="U313" s="6"/>
      <c r="V313" s="6"/>
      <c r="W313" s="6"/>
      <c r="X313" s="6"/>
      <c r="Y313" s="6"/>
      <c r="Z313" s="6"/>
    </row>
    <row r="314" ht="22.5" customHeight="1">
      <c r="A314" s="84">
        <v>245.0</v>
      </c>
      <c r="B314" s="90">
        <v>52902.0</v>
      </c>
      <c r="C314" s="80">
        <f t="shared" si="17"/>
        <v>213720.1256</v>
      </c>
      <c r="D314" s="80">
        <f t="shared" si="18"/>
        <v>4310.336825</v>
      </c>
      <c r="E314" s="80">
        <f t="shared" si="14"/>
        <v>933.2445485</v>
      </c>
      <c r="F314" s="80">
        <f t="shared" si="15"/>
        <v>3377.092276</v>
      </c>
      <c r="G314" s="81">
        <f t="shared" si="16"/>
        <v>210343.0333</v>
      </c>
      <c r="H314" s="6"/>
      <c r="I314" s="6"/>
      <c r="J314" s="6"/>
      <c r="K314" s="6"/>
      <c r="L314" s="6"/>
      <c r="M314" s="6"/>
      <c r="N314" s="6"/>
      <c r="O314" s="6"/>
      <c r="P314" s="6"/>
      <c r="Q314" s="6"/>
      <c r="R314" s="6"/>
      <c r="S314" s="6"/>
      <c r="T314" s="6"/>
      <c r="U314" s="6"/>
      <c r="V314" s="6"/>
      <c r="W314" s="6"/>
      <c r="X314" s="6"/>
      <c r="Y314" s="6"/>
      <c r="Z314" s="6"/>
    </row>
    <row r="315" ht="22.5" customHeight="1">
      <c r="A315" s="84">
        <v>246.0</v>
      </c>
      <c r="B315" s="90">
        <v>52932.0</v>
      </c>
      <c r="C315" s="80">
        <f t="shared" si="17"/>
        <v>210343.0333</v>
      </c>
      <c r="D315" s="80">
        <f t="shared" si="18"/>
        <v>4310.336825</v>
      </c>
      <c r="E315" s="80">
        <f t="shared" si="14"/>
        <v>918.4979123</v>
      </c>
      <c r="F315" s="80">
        <f t="shared" si="15"/>
        <v>3391.838913</v>
      </c>
      <c r="G315" s="81">
        <f t="shared" si="16"/>
        <v>206951.1944</v>
      </c>
      <c r="H315" s="6"/>
      <c r="I315" s="6"/>
      <c r="J315" s="6"/>
      <c r="K315" s="6"/>
      <c r="L315" s="6"/>
      <c r="M315" s="6"/>
      <c r="N315" s="6"/>
      <c r="O315" s="6"/>
      <c r="P315" s="6"/>
      <c r="Q315" s="6"/>
      <c r="R315" s="6"/>
      <c r="S315" s="6"/>
      <c r="T315" s="6"/>
      <c r="U315" s="6"/>
      <c r="V315" s="6"/>
      <c r="W315" s="6"/>
      <c r="X315" s="6"/>
      <c r="Y315" s="6"/>
      <c r="Z315" s="6"/>
    </row>
    <row r="316" ht="22.5" customHeight="1">
      <c r="A316" s="84">
        <v>247.0</v>
      </c>
      <c r="B316" s="90">
        <v>52963.0</v>
      </c>
      <c r="C316" s="80">
        <f t="shared" si="17"/>
        <v>206951.1944</v>
      </c>
      <c r="D316" s="80">
        <f t="shared" si="18"/>
        <v>4310.336825</v>
      </c>
      <c r="E316" s="80">
        <f t="shared" si="14"/>
        <v>903.6868824</v>
      </c>
      <c r="F316" s="80">
        <f t="shared" si="15"/>
        <v>3406.649942</v>
      </c>
      <c r="G316" s="81">
        <f t="shared" si="16"/>
        <v>203544.5445</v>
      </c>
      <c r="H316" s="6"/>
      <c r="I316" s="6"/>
      <c r="J316" s="6"/>
      <c r="K316" s="6"/>
      <c r="L316" s="6"/>
      <c r="M316" s="6"/>
      <c r="N316" s="6"/>
      <c r="O316" s="6"/>
      <c r="P316" s="6"/>
      <c r="Q316" s="6"/>
      <c r="R316" s="6"/>
      <c r="S316" s="6"/>
      <c r="T316" s="6"/>
      <c r="U316" s="6"/>
      <c r="V316" s="6"/>
      <c r="W316" s="6"/>
      <c r="X316" s="6"/>
      <c r="Y316" s="6"/>
      <c r="Z316" s="6"/>
    </row>
    <row r="317" ht="22.5" customHeight="1">
      <c r="A317" s="84">
        <v>248.0</v>
      </c>
      <c r="B317" s="90">
        <v>52994.0</v>
      </c>
      <c r="C317" s="80">
        <f t="shared" si="17"/>
        <v>203544.5445</v>
      </c>
      <c r="D317" s="80">
        <f t="shared" si="18"/>
        <v>4310.336825</v>
      </c>
      <c r="E317" s="80">
        <f t="shared" si="14"/>
        <v>888.8111776</v>
      </c>
      <c r="F317" s="80">
        <f t="shared" si="15"/>
        <v>3421.525647</v>
      </c>
      <c r="G317" s="81">
        <f t="shared" si="16"/>
        <v>200123.0188</v>
      </c>
      <c r="H317" s="6"/>
      <c r="I317" s="6"/>
      <c r="J317" s="6"/>
      <c r="K317" s="6"/>
      <c r="L317" s="6"/>
      <c r="M317" s="6"/>
      <c r="N317" s="6"/>
      <c r="O317" s="6"/>
      <c r="P317" s="6"/>
      <c r="Q317" s="6"/>
      <c r="R317" s="6"/>
      <c r="S317" s="6"/>
      <c r="T317" s="6"/>
      <c r="U317" s="6"/>
      <c r="V317" s="6"/>
      <c r="W317" s="6"/>
      <c r="X317" s="6"/>
      <c r="Y317" s="6"/>
      <c r="Z317" s="6"/>
    </row>
    <row r="318" ht="22.5" customHeight="1">
      <c r="A318" s="84">
        <v>249.0</v>
      </c>
      <c r="B318" s="90">
        <v>53022.0</v>
      </c>
      <c r="C318" s="80">
        <f t="shared" si="17"/>
        <v>200123.0188</v>
      </c>
      <c r="D318" s="80">
        <f t="shared" si="18"/>
        <v>4310.336825</v>
      </c>
      <c r="E318" s="80">
        <f t="shared" si="14"/>
        <v>873.8705156</v>
      </c>
      <c r="F318" s="80">
        <f t="shared" si="15"/>
        <v>3436.466309</v>
      </c>
      <c r="G318" s="81">
        <f t="shared" si="16"/>
        <v>196686.5525</v>
      </c>
      <c r="H318" s="6"/>
      <c r="I318" s="6"/>
      <c r="J318" s="6"/>
      <c r="K318" s="6"/>
      <c r="L318" s="6"/>
      <c r="M318" s="6"/>
      <c r="N318" s="6"/>
      <c r="O318" s="6"/>
      <c r="P318" s="6"/>
      <c r="Q318" s="6"/>
      <c r="R318" s="6"/>
      <c r="S318" s="6"/>
      <c r="T318" s="6"/>
      <c r="U318" s="6"/>
      <c r="V318" s="6"/>
      <c r="W318" s="6"/>
      <c r="X318" s="6"/>
      <c r="Y318" s="6"/>
      <c r="Z318" s="6"/>
    </row>
    <row r="319" ht="22.5" customHeight="1">
      <c r="A319" s="84">
        <v>250.0</v>
      </c>
      <c r="B319" s="90">
        <v>53053.0</v>
      </c>
      <c r="C319" s="80">
        <f t="shared" si="17"/>
        <v>196686.5525</v>
      </c>
      <c r="D319" s="80">
        <f t="shared" si="18"/>
        <v>4310.336825</v>
      </c>
      <c r="E319" s="80">
        <f t="shared" si="14"/>
        <v>858.8646127</v>
      </c>
      <c r="F319" s="80">
        <f t="shared" si="15"/>
        <v>3451.472212</v>
      </c>
      <c r="G319" s="81">
        <f t="shared" si="16"/>
        <v>193235.0803</v>
      </c>
      <c r="H319" s="6"/>
      <c r="I319" s="6"/>
      <c r="J319" s="6"/>
      <c r="K319" s="6"/>
      <c r="L319" s="6"/>
      <c r="M319" s="6"/>
      <c r="N319" s="6"/>
      <c r="O319" s="6"/>
      <c r="P319" s="6"/>
      <c r="Q319" s="6"/>
      <c r="R319" s="6"/>
      <c r="S319" s="6"/>
      <c r="T319" s="6"/>
      <c r="U319" s="6"/>
      <c r="V319" s="6"/>
      <c r="W319" s="6"/>
      <c r="X319" s="6"/>
      <c r="Y319" s="6"/>
      <c r="Z319" s="6"/>
    </row>
    <row r="320" ht="22.5" customHeight="1">
      <c r="A320" s="84">
        <v>251.0</v>
      </c>
      <c r="B320" s="90">
        <v>53083.0</v>
      </c>
      <c r="C320" s="80">
        <f t="shared" si="17"/>
        <v>193235.0803</v>
      </c>
      <c r="D320" s="80">
        <f t="shared" si="18"/>
        <v>4310.336825</v>
      </c>
      <c r="E320" s="80">
        <f t="shared" si="14"/>
        <v>843.7931841</v>
      </c>
      <c r="F320" s="80">
        <f t="shared" si="15"/>
        <v>3466.543641</v>
      </c>
      <c r="G320" s="81">
        <f t="shared" si="16"/>
        <v>189768.5367</v>
      </c>
      <c r="H320" s="6"/>
      <c r="I320" s="6"/>
      <c r="J320" s="6"/>
      <c r="K320" s="6"/>
      <c r="L320" s="6"/>
      <c r="M320" s="6"/>
      <c r="N320" s="6"/>
      <c r="O320" s="6"/>
      <c r="P320" s="6"/>
      <c r="Q320" s="6"/>
      <c r="R320" s="6"/>
      <c r="S320" s="6"/>
      <c r="T320" s="6"/>
      <c r="U320" s="6"/>
      <c r="V320" s="6"/>
      <c r="W320" s="6"/>
      <c r="X320" s="6"/>
      <c r="Y320" s="6"/>
      <c r="Z320" s="6"/>
    </row>
    <row r="321" ht="22.5" customHeight="1">
      <c r="A321" s="84">
        <v>252.0</v>
      </c>
      <c r="B321" s="90">
        <v>53114.0</v>
      </c>
      <c r="C321" s="80">
        <f t="shared" si="17"/>
        <v>189768.5367</v>
      </c>
      <c r="D321" s="80">
        <f t="shared" si="18"/>
        <v>4310.336825</v>
      </c>
      <c r="E321" s="80">
        <f t="shared" si="14"/>
        <v>828.6559435</v>
      </c>
      <c r="F321" s="80">
        <f t="shared" si="15"/>
        <v>3481.680881</v>
      </c>
      <c r="G321" s="81">
        <f t="shared" si="16"/>
        <v>186286.8558</v>
      </c>
      <c r="H321" s="6"/>
      <c r="I321" s="6"/>
      <c r="J321" s="6"/>
      <c r="K321" s="6"/>
      <c r="L321" s="6"/>
      <c r="M321" s="6"/>
      <c r="N321" s="6"/>
      <c r="O321" s="6"/>
      <c r="P321" s="6"/>
      <c r="Q321" s="6"/>
      <c r="R321" s="6"/>
      <c r="S321" s="6"/>
      <c r="T321" s="6"/>
      <c r="U321" s="6"/>
      <c r="V321" s="6"/>
      <c r="W321" s="6"/>
      <c r="X321" s="6"/>
      <c r="Y321" s="6"/>
      <c r="Z321" s="6"/>
    </row>
    <row r="322" ht="22.5" customHeight="1">
      <c r="A322" s="84">
        <v>253.0</v>
      </c>
      <c r="B322" s="90">
        <v>53144.0</v>
      </c>
      <c r="C322" s="80">
        <f t="shared" si="17"/>
        <v>186286.8558</v>
      </c>
      <c r="D322" s="80">
        <f t="shared" si="18"/>
        <v>4310.336825</v>
      </c>
      <c r="E322" s="80">
        <f t="shared" si="14"/>
        <v>813.4526037</v>
      </c>
      <c r="F322" s="80">
        <f t="shared" si="15"/>
        <v>3496.884221</v>
      </c>
      <c r="G322" s="81">
        <f t="shared" si="16"/>
        <v>182789.9716</v>
      </c>
      <c r="H322" s="6"/>
      <c r="I322" s="6"/>
      <c r="J322" s="6"/>
      <c r="K322" s="6"/>
      <c r="L322" s="6"/>
      <c r="M322" s="6"/>
      <c r="N322" s="6"/>
      <c r="O322" s="6"/>
      <c r="P322" s="6"/>
      <c r="Q322" s="6"/>
      <c r="R322" s="6"/>
      <c r="S322" s="6"/>
      <c r="T322" s="6"/>
      <c r="U322" s="6"/>
      <c r="V322" s="6"/>
      <c r="W322" s="6"/>
      <c r="X322" s="6"/>
      <c r="Y322" s="6"/>
      <c r="Z322" s="6"/>
    </row>
    <row r="323" ht="22.5" customHeight="1">
      <c r="A323" s="84">
        <v>254.0</v>
      </c>
      <c r="B323" s="90">
        <v>53175.0</v>
      </c>
      <c r="C323" s="80">
        <f t="shared" si="17"/>
        <v>182789.9716</v>
      </c>
      <c r="D323" s="80">
        <f t="shared" si="18"/>
        <v>4310.336825</v>
      </c>
      <c r="E323" s="80">
        <f t="shared" si="14"/>
        <v>798.1828759</v>
      </c>
      <c r="F323" s="80">
        <f t="shared" si="15"/>
        <v>3512.153949</v>
      </c>
      <c r="G323" s="81">
        <f t="shared" si="16"/>
        <v>179277.8176</v>
      </c>
      <c r="H323" s="6"/>
      <c r="I323" s="6"/>
      <c r="J323" s="6"/>
      <c r="K323" s="6"/>
      <c r="L323" s="6"/>
      <c r="M323" s="6"/>
      <c r="N323" s="6"/>
      <c r="O323" s="6"/>
      <c r="P323" s="6"/>
      <c r="Q323" s="6"/>
      <c r="R323" s="6"/>
      <c r="S323" s="6"/>
      <c r="T323" s="6"/>
      <c r="U323" s="6"/>
      <c r="V323" s="6"/>
      <c r="W323" s="6"/>
      <c r="X323" s="6"/>
      <c r="Y323" s="6"/>
      <c r="Z323" s="6"/>
    </row>
    <row r="324" ht="22.5" customHeight="1">
      <c r="A324" s="84">
        <v>255.0</v>
      </c>
      <c r="B324" s="90">
        <v>53206.0</v>
      </c>
      <c r="C324" s="80">
        <f t="shared" si="17"/>
        <v>179277.8176</v>
      </c>
      <c r="D324" s="80">
        <f t="shared" si="18"/>
        <v>4310.336825</v>
      </c>
      <c r="E324" s="80">
        <f t="shared" si="14"/>
        <v>782.8464703</v>
      </c>
      <c r="F324" s="80">
        <f t="shared" si="15"/>
        <v>3527.490354</v>
      </c>
      <c r="G324" s="81">
        <f t="shared" si="16"/>
        <v>175750.3273</v>
      </c>
      <c r="H324" s="6"/>
      <c r="I324" s="6"/>
      <c r="J324" s="6"/>
      <c r="K324" s="6"/>
      <c r="L324" s="6"/>
      <c r="M324" s="6"/>
      <c r="N324" s="6"/>
      <c r="O324" s="6"/>
      <c r="P324" s="6"/>
      <c r="Q324" s="6"/>
      <c r="R324" s="6"/>
      <c r="S324" s="6"/>
      <c r="T324" s="6"/>
      <c r="U324" s="6"/>
      <c r="V324" s="6"/>
      <c r="W324" s="6"/>
      <c r="X324" s="6"/>
      <c r="Y324" s="6"/>
      <c r="Z324" s="6"/>
    </row>
    <row r="325" ht="22.5" customHeight="1">
      <c r="A325" s="84">
        <v>256.0</v>
      </c>
      <c r="B325" s="90">
        <v>53236.0</v>
      </c>
      <c r="C325" s="80">
        <f t="shared" si="17"/>
        <v>175750.3273</v>
      </c>
      <c r="D325" s="80">
        <f t="shared" si="18"/>
        <v>4310.336825</v>
      </c>
      <c r="E325" s="80">
        <f t="shared" si="14"/>
        <v>767.4430958</v>
      </c>
      <c r="F325" s="80">
        <f t="shared" si="15"/>
        <v>3542.893729</v>
      </c>
      <c r="G325" s="81">
        <f t="shared" si="16"/>
        <v>172207.4335</v>
      </c>
      <c r="H325" s="6"/>
      <c r="I325" s="6"/>
      <c r="J325" s="6"/>
      <c r="K325" s="6"/>
      <c r="L325" s="6"/>
      <c r="M325" s="6"/>
      <c r="N325" s="6"/>
      <c r="O325" s="6"/>
      <c r="P325" s="6"/>
      <c r="Q325" s="6"/>
      <c r="R325" s="6"/>
      <c r="S325" s="6"/>
      <c r="T325" s="6"/>
      <c r="U325" s="6"/>
      <c r="V325" s="6"/>
      <c r="W325" s="6"/>
      <c r="X325" s="6"/>
      <c r="Y325" s="6"/>
      <c r="Z325" s="6"/>
    </row>
    <row r="326" ht="22.5" customHeight="1">
      <c r="A326" s="84">
        <v>257.0</v>
      </c>
      <c r="B326" s="90">
        <v>53267.0</v>
      </c>
      <c r="C326" s="80">
        <f t="shared" si="17"/>
        <v>172207.4335</v>
      </c>
      <c r="D326" s="80">
        <f t="shared" si="18"/>
        <v>4310.336825</v>
      </c>
      <c r="E326" s="80">
        <f t="shared" si="14"/>
        <v>751.9724598</v>
      </c>
      <c r="F326" s="80">
        <f t="shared" si="15"/>
        <v>3558.364365</v>
      </c>
      <c r="G326" s="81">
        <f t="shared" si="16"/>
        <v>168649.0692</v>
      </c>
      <c r="H326" s="6"/>
      <c r="I326" s="6"/>
      <c r="J326" s="6"/>
      <c r="K326" s="6"/>
      <c r="L326" s="6"/>
      <c r="M326" s="6"/>
      <c r="N326" s="6"/>
      <c r="O326" s="6"/>
      <c r="P326" s="6"/>
      <c r="Q326" s="6"/>
      <c r="R326" s="6"/>
      <c r="S326" s="6"/>
      <c r="T326" s="6"/>
      <c r="U326" s="6"/>
      <c r="V326" s="6"/>
      <c r="W326" s="6"/>
      <c r="X326" s="6"/>
      <c r="Y326" s="6"/>
      <c r="Z326" s="6"/>
    </row>
    <row r="327" ht="22.5" customHeight="1">
      <c r="A327" s="84">
        <v>258.0</v>
      </c>
      <c r="B327" s="90">
        <v>53297.0</v>
      </c>
      <c r="C327" s="80">
        <f t="shared" si="17"/>
        <v>168649.0692</v>
      </c>
      <c r="D327" s="80">
        <f t="shared" si="18"/>
        <v>4310.336825</v>
      </c>
      <c r="E327" s="80">
        <f t="shared" si="14"/>
        <v>736.4342688</v>
      </c>
      <c r="F327" s="80">
        <f t="shared" si="15"/>
        <v>3573.902556</v>
      </c>
      <c r="G327" s="81">
        <f t="shared" si="16"/>
        <v>165075.1666</v>
      </c>
      <c r="H327" s="6"/>
      <c r="I327" s="6"/>
      <c r="J327" s="6"/>
      <c r="K327" s="6"/>
      <c r="L327" s="6"/>
      <c r="M327" s="6"/>
      <c r="N327" s="6"/>
      <c r="O327" s="6"/>
      <c r="P327" s="6"/>
      <c r="Q327" s="6"/>
      <c r="R327" s="6"/>
      <c r="S327" s="6"/>
      <c r="T327" s="6"/>
      <c r="U327" s="6"/>
      <c r="V327" s="6"/>
      <c r="W327" s="6"/>
      <c r="X327" s="6"/>
      <c r="Y327" s="6"/>
      <c r="Z327" s="6"/>
    </row>
    <row r="328" ht="22.5" customHeight="1">
      <c r="A328" s="84">
        <v>259.0</v>
      </c>
      <c r="B328" s="90">
        <v>53328.0</v>
      </c>
      <c r="C328" s="80">
        <f t="shared" si="17"/>
        <v>165075.1666</v>
      </c>
      <c r="D328" s="80">
        <f t="shared" si="18"/>
        <v>4310.336825</v>
      </c>
      <c r="E328" s="80">
        <f t="shared" si="14"/>
        <v>720.8282276</v>
      </c>
      <c r="F328" s="80">
        <f t="shared" si="15"/>
        <v>3589.508597</v>
      </c>
      <c r="G328" s="81">
        <f t="shared" si="16"/>
        <v>161485.658</v>
      </c>
      <c r="H328" s="6"/>
      <c r="I328" s="6"/>
      <c r="J328" s="6"/>
      <c r="K328" s="6"/>
      <c r="L328" s="6"/>
      <c r="M328" s="6"/>
      <c r="N328" s="6"/>
      <c r="O328" s="6"/>
      <c r="P328" s="6"/>
      <c r="Q328" s="6"/>
      <c r="R328" s="6"/>
      <c r="S328" s="6"/>
      <c r="T328" s="6"/>
      <c r="U328" s="6"/>
      <c r="V328" s="6"/>
      <c r="W328" s="6"/>
      <c r="X328" s="6"/>
      <c r="Y328" s="6"/>
      <c r="Z328" s="6"/>
    </row>
    <row r="329" ht="22.5" customHeight="1">
      <c r="A329" s="84">
        <v>260.0</v>
      </c>
      <c r="B329" s="90">
        <v>53359.0</v>
      </c>
      <c r="C329" s="80">
        <f t="shared" si="17"/>
        <v>161485.658</v>
      </c>
      <c r="D329" s="80">
        <f t="shared" si="18"/>
        <v>4310.336825</v>
      </c>
      <c r="E329" s="80">
        <f t="shared" si="14"/>
        <v>705.1540401</v>
      </c>
      <c r="F329" s="80">
        <f t="shared" si="15"/>
        <v>3605.182785</v>
      </c>
      <c r="G329" s="81">
        <f t="shared" si="16"/>
        <v>157880.4752</v>
      </c>
      <c r="H329" s="6"/>
      <c r="I329" s="6"/>
      <c r="J329" s="6"/>
      <c r="K329" s="6"/>
      <c r="L329" s="6"/>
      <c r="M329" s="6"/>
      <c r="N329" s="6"/>
      <c r="O329" s="6"/>
      <c r="P329" s="6"/>
      <c r="Q329" s="6"/>
      <c r="R329" s="6"/>
      <c r="S329" s="6"/>
      <c r="T329" s="6"/>
      <c r="U329" s="6"/>
      <c r="V329" s="6"/>
      <c r="W329" s="6"/>
      <c r="X329" s="6"/>
      <c r="Y329" s="6"/>
      <c r="Z329" s="6"/>
    </row>
    <row r="330" ht="22.5" customHeight="1">
      <c r="A330" s="84">
        <v>261.0</v>
      </c>
      <c r="B330" s="90">
        <v>53387.0</v>
      </c>
      <c r="C330" s="80">
        <f t="shared" si="17"/>
        <v>157880.4752</v>
      </c>
      <c r="D330" s="80">
        <f t="shared" si="18"/>
        <v>4310.336825</v>
      </c>
      <c r="E330" s="80">
        <f t="shared" si="14"/>
        <v>689.4114086</v>
      </c>
      <c r="F330" s="80">
        <f t="shared" si="15"/>
        <v>3620.925416</v>
      </c>
      <c r="G330" s="81">
        <f t="shared" si="16"/>
        <v>154259.5498</v>
      </c>
      <c r="H330" s="6"/>
      <c r="I330" s="6"/>
      <c r="J330" s="6"/>
      <c r="K330" s="6"/>
      <c r="L330" s="6"/>
      <c r="M330" s="6"/>
      <c r="N330" s="6"/>
      <c r="O330" s="6"/>
      <c r="P330" s="6"/>
      <c r="Q330" s="6"/>
      <c r="R330" s="6"/>
      <c r="S330" s="6"/>
      <c r="T330" s="6"/>
      <c r="U330" s="6"/>
      <c r="V330" s="6"/>
      <c r="W330" s="6"/>
      <c r="X330" s="6"/>
      <c r="Y330" s="6"/>
      <c r="Z330" s="6"/>
    </row>
    <row r="331" ht="22.5" customHeight="1">
      <c r="A331" s="84">
        <v>262.0</v>
      </c>
      <c r="B331" s="90">
        <v>53418.0</v>
      </c>
      <c r="C331" s="80">
        <f t="shared" si="17"/>
        <v>154259.5498</v>
      </c>
      <c r="D331" s="80">
        <f t="shared" si="18"/>
        <v>4310.336825</v>
      </c>
      <c r="E331" s="80">
        <f t="shared" si="14"/>
        <v>673.6000342</v>
      </c>
      <c r="F331" s="80">
        <f t="shared" si="15"/>
        <v>3636.736791</v>
      </c>
      <c r="G331" s="81">
        <f t="shared" si="16"/>
        <v>150622.813</v>
      </c>
      <c r="H331" s="6"/>
      <c r="I331" s="6"/>
      <c r="J331" s="6"/>
      <c r="K331" s="6"/>
      <c r="L331" s="6"/>
      <c r="M331" s="6"/>
      <c r="N331" s="6"/>
      <c r="O331" s="6"/>
      <c r="P331" s="6"/>
      <c r="Q331" s="6"/>
      <c r="R331" s="6"/>
      <c r="S331" s="6"/>
      <c r="T331" s="6"/>
      <c r="U331" s="6"/>
      <c r="V331" s="6"/>
      <c r="W331" s="6"/>
      <c r="X331" s="6"/>
      <c r="Y331" s="6"/>
      <c r="Z331" s="6"/>
    </row>
    <row r="332" ht="22.5" customHeight="1">
      <c r="A332" s="84">
        <v>263.0</v>
      </c>
      <c r="B332" s="90">
        <v>53448.0</v>
      </c>
      <c r="C332" s="80">
        <f t="shared" si="17"/>
        <v>150622.813</v>
      </c>
      <c r="D332" s="80">
        <f t="shared" si="18"/>
        <v>4310.336825</v>
      </c>
      <c r="E332" s="80">
        <f t="shared" si="14"/>
        <v>657.7196169</v>
      </c>
      <c r="F332" s="80">
        <f t="shared" si="15"/>
        <v>3652.617208</v>
      </c>
      <c r="G332" s="81">
        <f t="shared" si="16"/>
        <v>146970.1958</v>
      </c>
      <c r="H332" s="6"/>
      <c r="I332" s="6"/>
      <c r="J332" s="6"/>
      <c r="K332" s="6"/>
      <c r="L332" s="6"/>
      <c r="M332" s="6"/>
      <c r="N332" s="6"/>
      <c r="O332" s="6"/>
      <c r="P332" s="6"/>
      <c r="Q332" s="6"/>
      <c r="R332" s="6"/>
      <c r="S332" s="6"/>
      <c r="T332" s="6"/>
      <c r="U332" s="6"/>
      <c r="V332" s="6"/>
      <c r="W332" s="6"/>
      <c r="X332" s="6"/>
      <c r="Y332" s="6"/>
      <c r="Z332" s="6"/>
    </row>
    <row r="333" ht="22.5" customHeight="1">
      <c r="A333" s="84">
        <v>264.0</v>
      </c>
      <c r="B333" s="90">
        <v>53479.0</v>
      </c>
      <c r="C333" s="80">
        <f t="shared" si="17"/>
        <v>146970.1958</v>
      </c>
      <c r="D333" s="80">
        <f t="shared" si="18"/>
        <v>4310.336825</v>
      </c>
      <c r="E333" s="80">
        <f t="shared" si="14"/>
        <v>641.7698551</v>
      </c>
      <c r="F333" s="80">
        <f t="shared" si="15"/>
        <v>3668.56697</v>
      </c>
      <c r="G333" s="81">
        <f t="shared" si="16"/>
        <v>143301.6289</v>
      </c>
      <c r="H333" s="6"/>
      <c r="I333" s="6"/>
      <c r="J333" s="6"/>
      <c r="K333" s="6"/>
      <c r="L333" s="6"/>
      <c r="M333" s="6"/>
      <c r="N333" s="6"/>
      <c r="O333" s="6"/>
      <c r="P333" s="6"/>
      <c r="Q333" s="6"/>
      <c r="R333" s="6"/>
      <c r="S333" s="6"/>
      <c r="T333" s="6"/>
      <c r="U333" s="6"/>
      <c r="V333" s="6"/>
      <c r="W333" s="6"/>
      <c r="X333" s="6"/>
      <c r="Y333" s="6"/>
      <c r="Z333" s="6"/>
    </row>
    <row r="334" ht="22.5" customHeight="1">
      <c r="A334" s="84">
        <v>265.0</v>
      </c>
      <c r="B334" s="90">
        <v>53509.0</v>
      </c>
      <c r="C334" s="80">
        <f t="shared" si="17"/>
        <v>143301.6289</v>
      </c>
      <c r="D334" s="80">
        <f t="shared" si="18"/>
        <v>4310.336825</v>
      </c>
      <c r="E334" s="80">
        <f t="shared" si="14"/>
        <v>625.750446</v>
      </c>
      <c r="F334" s="80">
        <f t="shared" si="15"/>
        <v>3684.586379</v>
      </c>
      <c r="G334" s="81">
        <f t="shared" si="16"/>
        <v>139617.0425</v>
      </c>
      <c r="H334" s="6"/>
      <c r="I334" s="6"/>
      <c r="J334" s="6"/>
      <c r="K334" s="6"/>
      <c r="L334" s="6"/>
      <c r="M334" s="6"/>
      <c r="N334" s="6"/>
      <c r="O334" s="6"/>
      <c r="P334" s="6"/>
      <c r="Q334" s="6"/>
      <c r="R334" s="6"/>
      <c r="S334" s="6"/>
      <c r="T334" s="6"/>
      <c r="U334" s="6"/>
      <c r="V334" s="6"/>
      <c r="W334" s="6"/>
      <c r="X334" s="6"/>
      <c r="Y334" s="6"/>
      <c r="Z334" s="6"/>
    </row>
    <row r="335" ht="22.5" customHeight="1">
      <c r="A335" s="84">
        <v>266.0</v>
      </c>
      <c r="B335" s="90">
        <v>53540.0</v>
      </c>
      <c r="C335" s="80">
        <f t="shared" si="17"/>
        <v>139617.0425</v>
      </c>
      <c r="D335" s="80">
        <f t="shared" si="18"/>
        <v>4310.336825</v>
      </c>
      <c r="E335" s="80">
        <f t="shared" si="14"/>
        <v>609.6610855</v>
      </c>
      <c r="F335" s="80">
        <f t="shared" si="15"/>
        <v>3700.675739</v>
      </c>
      <c r="G335" s="81">
        <f t="shared" si="16"/>
        <v>135916.3667</v>
      </c>
      <c r="H335" s="6"/>
      <c r="I335" s="6"/>
      <c r="J335" s="6"/>
      <c r="K335" s="6"/>
      <c r="L335" s="6"/>
      <c r="M335" s="6"/>
      <c r="N335" s="6"/>
      <c r="O335" s="6"/>
      <c r="P335" s="6"/>
      <c r="Q335" s="6"/>
      <c r="R335" s="6"/>
      <c r="S335" s="6"/>
      <c r="T335" s="6"/>
      <c r="U335" s="6"/>
      <c r="V335" s="6"/>
      <c r="W335" s="6"/>
      <c r="X335" s="6"/>
      <c r="Y335" s="6"/>
      <c r="Z335" s="6"/>
    </row>
    <row r="336" ht="22.5" customHeight="1">
      <c r="A336" s="84">
        <v>267.0</v>
      </c>
      <c r="B336" s="90">
        <v>53571.0</v>
      </c>
      <c r="C336" s="80">
        <f t="shared" si="17"/>
        <v>135916.3667</v>
      </c>
      <c r="D336" s="80">
        <f t="shared" si="18"/>
        <v>4310.336825</v>
      </c>
      <c r="E336" s="80">
        <f t="shared" si="14"/>
        <v>593.5014681</v>
      </c>
      <c r="F336" s="80">
        <f t="shared" si="15"/>
        <v>3716.835357</v>
      </c>
      <c r="G336" s="81">
        <f t="shared" si="16"/>
        <v>132199.5314</v>
      </c>
      <c r="H336" s="6"/>
      <c r="I336" s="6"/>
      <c r="J336" s="6"/>
      <c r="K336" s="6"/>
      <c r="L336" s="6"/>
      <c r="M336" s="6"/>
      <c r="N336" s="6"/>
      <c r="O336" s="6"/>
      <c r="P336" s="6"/>
      <c r="Q336" s="6"/>
      <c r="R336" s="6"/>
      <c r="S336" s="6"/>
      <c r="T336" s="6"/>
      <c r="U336" s="6"/>
      <c r="V336" s="6"/>
      <c r="W336" s="6"/>
      <c r="X336" s="6"/>
      <c r="Y336" s="6"/>
      <c r="Z336" s="6"/>
    </row>
    <row r="337" ht="22.5" customHeight="1">
      <c r="A337" s="84">
        <v>268.0</v>
      </c>
      <c r="B337" s="90">
        <v>53601.0</v>
      </c>
      <c r="C337" s="80">
        <f t="shared" si="17"/>
        <v>132199.5314</v>
      </c>
      <c r="D337" s="80">
        <f t="shared" si="18"/>
        <v>4310.336825</v>
      </c>
      <c r="E337" s="80">
        <f t="shared" si="14"/>
        <v>577.271287</v>
      </c>
      <c r="F337" s="80">
        <f t="shared" si="15"/>
        <v>3733.065538</v>
      </c>
      <c r="G337" s="81">
        <f t="shared" si="16"/>
        <v>128466.4658</v>
      </c>
      <c r="H337" s="6"/>
      <c r="I337" s="6"/>
      <c r="J337" s="6"/>
      <c r="K337" s="6"/>
      <c r="L337" s="6"/>
      <c r="M337" s="6"/>
      <c r="N337" s="6"/>
      <c r="O337" s="6"/>
      <c r="P337" s="6"/>
      <c r="Q337" s="6"/>
      <c r="R337" s="6"/>
      <c r="S337" s="6"/>
      <c r="T337" s="6"/>
      <c r="U337" s="6"/>
      <c r="V337" s="6"/>
      <c r="W337" s="6"/>
      <c r="X337" s="6"/>
      <c r="Y337" s="6"/>
      <c r="Z337" s="6"/>
    </row>
    <row r="338" ht="22.5" customHeight="1">
      <c r="A338" s="84">
        <v>269.0</v>
      </c>
      <c r="B338" s="90">
        <v>53632.0</v>
      </c>
      <c r="C338" s="80">
        <f t="shared" si="17"/>
        <v>128466.4658</v>
      </c>
      <c r="D338" s="80">
        <f t="shared" si="18"/>
        <v>4310.336825</v>
      </c>
      <c r="E338" s="80">
        <f t="shared" si="14"/>
        <v>560.9702342</v>
      </c>
      <c r="F338" s="80">
        <f t="shared" si="15"/>
        <v>3749.366591</v>
      </c>
      <c r="G338" s="81">
        <f t="shared" si="16"/>
        <v>124717.0993</v>
      </c>
      <c r="H338" s="6"/>
      <c r="I338" s="6"/>
      <c r="J338" s="6"/>
      <c r="K338" s="6"/>
      <c r="L338" s="6"/>
      <c r="M338" s="6"/>
      <c r="N338" s="6"/>
      <c r="O338" s="6"/>
      <c r="P338" s="6"/>
      <c r="Q338" s="6"/>
      <c r="R338" s="6"/>
      <c r="S338" s="6"/>
      <c r="T338" s="6"/>
      <c r="U338" s="6"/>
      <c r="V338" s="6"/>
      <c r="W338" s="6"/>
      <c r="X338" s="6"/>
      <c r="Y338" s="6"/>
      <c r="Z338" s="6"/>
    </row>
    <row r="339" ht="22.5" customHeight="1">
      <c r="A339" s="84">
        <v>270.0</v>
      </c>
      <c r="B339" s="90">
        <v>53662.0</v>
      </c>
      <c r="C339" s="80">
        <f t="shared" si="17"/>
        <v>124717.0993</v>
      </c>
      <c r="D339" s="80">
        <f t="shared" si="18"/>
        <v>4310.336825</v>
      </c>
      <c r="E339" s="80">
        <f t="shared" si="14"/>
        <v>544.5980001</v>
      </c>
      <c r="F339" s="80">
        <f t="shared" si="15"/>
        <v>3765.738825</v>
      </c>
      <c r="G339" s="81">
        <f t="shared" si="16"/>
        <v>120951.3604</v>
      </c>
      <c r="H339" s="6"/>
      <c r="I339" s="6"/>
      <c r="J339" s="6"/>
      <c r="K339" s="6"/>
      <c r="L339" s="6"/>
      <c r="M339" s="6"/>
      <c r="N339" s="6"/>
      <c r="O339" s="6"/>
      <c r="P339" s="6"/>
      <c r="Q339" s="6"/>
      <c r="R339" s="6"/>
      <c r="S339" s="6"/>
      <c r="T339" s="6"/>
      <c r="U339" s="6"/>
      <c r="V339" s="6"/>
      <c r="W339" s="6"/>
      <c r="X339" s="6"/>
      <c r="Y339" s="6"/>
      <c r="Z339" s="6"/>
    </row>
    <row r="340" ht="22.5" customHeight="1">
      <c r="A340" s="84">
        <v>271.0</v>
      </c>
      <c r="B340" s="90">
        <v>53693.0</v>
      </c>
      <c r="C340" s="80">
        <f t="shared" si="17"/>
        <v>120951.3604</v>
      </c>
      <c r="D340" s="80">
        <f t="shared" si="18"/>
        <v>4310.336825</v>
      </c>
      <c r="E340" s="80">
        <f t="shared" si="14"/>
        <v>528.1542739</v>
      </c>
      <c r="F340" s="80">
        <f t="shared" si="15"/>
        <v>3782.182551</v>
      </c>
      <c r="G340" s="81">
        <f t="shared" si="16"/>
        <v>117169.1779</v>
      </c>
      <c r="H340" s="6"/>
      <c r="I340" s="6"/>
      <c r="J340" s="6"/>
      <c r="K340" s="6"/>
      <c r="L340" s="6"/>
      <c r="M340" s="6"/>
      <c r="N340" s="6"/>
      <c r="O340" s="6"/>
      <c r="P340" s="6"/>
      <c r="Q340" s="6"/>
      <c r="R340" s="6"/>
      <c r="S340" s="6"/>
      <c r="T340" s="6"/>
      <c r="U340" s="6"/>
      <c r="V340" s="6"/>
      <c r="W340" s="6"/>
      <c r="X340" s="6"/>
      <c r="Y340" s="6"/>
      <c r="Z340" s="6"/>
    </row>
    <row r="341" ht="22.5" customHeight="1">
      <c r="A341" s="84">
        <v>272.0</v>
      </c>
      <c r="B341" s="90">
        <v>53724.0</v>
      </c>
      <c r="C341" s="80">
        <f t="shared" si="17"/>
        <v>117169.1779</v>
      </c>
      <c r="D341" s="80">
        <f t="shared" si="18"/>
        <v>4310.336825</v>
      </c>
      <c r="E341" s="80">
        <f t="shared" si="14"/>
        <v>511.6387434</v>
      </c>
      <c r="F341" s="80">
        <f t="shared" si="15"/>
        <v>3798.698081</v>
      </c>
      <c r="G341" s="81">
        <f t="shared" si="16"/>
        <v>113370.4798</v>
      </c>
      <c r="H341" s="6"/>
      <c r="I341" s="6"/>
      <c r="J341" s="6"/>
      <c r="K341" s="6"/>
      <c r="L341" s="6"/>
      <c r="M341" s="6"/>
      <c r="N341" s="6"/>
      <c r="O341" s="6"/>
      <c r="P341" s="6"/>
      <c r="Q341" s="6"/>
      <c r="R341" s="6"/>
      <c r="S341" s="6"/>
      <c r="T341" s="6"/>
      <c r="U341" s="6"/>
      <c r="V341" s="6"/>
      <c r="W341" s="6"/>
      <c r="X341" s="6"/>
      <c r="Y341" s="6"/>
      <c r="Z341" s="6"/>
    </row>
    <row r="342" ht="22.5" customHeight="1">
      <c r="A342" s="84">
        <v>273.0</v>
      </c>
      <c r="B342" s="90">
        <v>53752.0</v>
      </c>
      <c r="C342" s="80">
        <f t="shared" si="17"/>
        <v>113370.4798</v>
      </c>
      <c r="D342" s="80">
        <f t="shared" si="18"/>
        <v>4310.336825</v>
      </c>
      <c r="E342" s="80">
        <f t="shared" si="14"/>
        <v>495.0510951</v>
      </c>
      <c r="F342" s="80">
        <f t="shared" si="15"/>
        <v>3815.28573</v>
      </c>
      <c r="G342" s="81">
        <f t="shared" si="16"/>
        <v>109555.1941</v>
      </c>
      <c r="H342" s="6"/>
      <c r="I342" s="6"/>
      <c r="J342" s="6"/>
      <c r="K342" s="6"/>
      <c r="L342" s="6"/>
      <c r="M342" s="6"/>
      <c r="N342" s="6"/>
      <c r="O342" s="6"/>
      <c r="P342" s="6"/>
      <c r="Q342" s="6"/>
      <c r="R342" s="6"/>
      <c r="S342" s="6"/>
      <c r="T342" s="6"/>
      <c r="U342" s="6"/>
      <c r="V342" s="6"/>
      <c r="W342" s="6"/>
      <c r="X342" s="6"/>
      <c r="Y342" s="6"/>
      <c r="Z342" s="6"/>
    </row>
    <row r="343" ht="22.5" customHeight="1">
      <c r="A343" s="84">
        <v>274.0</v>
      </c>
      <c r="B343" s="90">
        <v>53783.0</v>
      </c>
      <c r="C343" s="80">
        <f t="shared" si="17"/>
        <v>109555.1941</v>
      </c>
      <c r="D343" s="80">
        <f t="shared" si="18"/>
        <v>4310.336825</v>
      </c>
      <c r="E343" s="80">
        <f t="shared" si="14"/>
        <v>478.3910141</v>
      </c>
      <c r="F343" s="80">
        <f t="shared" si="15"/>
        <v>3831.945811</v>
      </c>
      <c r="G343" s="81">
        <f t="shared" si="16"/>
        <v>105723.2483</v>
      </c>
      <c r="H343" s="6"/>
      <c r="I343" s="6"/>
      <c r="J343" s="6"/>
      <c r="K343" s="6"/>
      <c r="L343" s="6"/>
      <c r="M343" s="6"/>
      <c r="N343" s="6"/>
      <c r="O343" s="6"/>
      <c r="P343" s="6"/>
      <c r="Q343" s="6"/>
      <c r="R343" s="6"/>
      <c r="S343" s="6"/>
      <c r="T343" s="6"/>
      <c r="U343" s="6"/>
      <c r="V343" s="6"/>
      <c r="W343" s="6"/>
      <c r="X343" s="6"/>
      <c r="Y343" s="6"/>
      <c r="Z343" s="6"/>
    </row>
    <row r="344" ht="22.5" customHeight="1">
      <c r="A344" s="84">
        <v>275.0</v>
      </c>
      <c r="B344" s="90">
        <v>53813.0</v>
      </c>
      <c r="C344" s="80">
        <f t="shared" si="17"/>
        <v>105723.2483</v>
      </c>
      <c r="D344" s="80">
        <f t="shared" si="18"/>
        <v>4310.336825</v>
      </c>
      <c r="E344" s="80">
        <f t="shared" si="14"/>
        <v>461.6581841</v>
      </c>
      <c r="F344" s="80">
        <f t="shared" si="15"/>
        <v>3848.678641</v>
      </c>
      <c r="G344" s="81">
        <f t="shared" si="16"/>
        <v>101874.5696</v>
      </c>
      <c r="H344" s="6"/>
      <c r="I344" s="6"/>
      <c r="J344" s="6"/>
      <c r="K344" s="6"/>
      <c r="L344" s="6"/>
      <c r="M344" s="6"/>
      <c r="N344" s="6"/>
      <c r="O344" s="6"/>
      <c r="P344" s="6"/>
      <c r="Q344" s="6"/>
      <c r="R344" s="6"/>
      <c r="S344" s="6"/>
      <c r="T344" s="6"/>
      <c r="U344" s="6"/>
      <c r="V344" s="6"/>
      <c r="W344" s="6"/>
      <c r="X344" s="6"/>
      <c r="Y344" s="6"/>
      <c r="Z344" s="6"/>
    </row>
    <row r="345" ht="22.5" customHeight="1">
      <c r="A345" s="84">
        <v>276.0</v>
      </c>
      <c r="B345" s="90">
        <v>53844.0</v>
      </c>
      <c r="C345" s="80">
        <f t="shared" si="17"/>
        <v>101874.5696</v>
      </c>
      <c r="D345" s="80">
        <f t="shared" si="18"/>
        <v>4310.336825</v>
      </c>
      <c r="E345" s="80">
        <f t="shared" si="14"/>
        <v>444.8522873</v>
      </c>
      <c r="F345" s="80">
        <f t="shared" si="15"/>
        <v>3865.484537</v>
      </c>
      <c r="G345" s="81">
        <f t="shared" si="16"/>
        <v>98009.08508</v>
      </c>
      <c r="H345" s="6"/>
      <c r="I345" s="6"/>
      <c r="J345" s="6"/>
      <c r="K345" s="6"/>
      <c r="L345" s="6"/>
      <c r="M345" s="6"/>
      <c r="N345" s="6"/>
      <c r="O345" s="6"/>
      <c r="P345" s="6"/>
      <c r="Q345" s="6"/>
      <c r="R345" s="6"/>
      <c r="S345" s="6"/>
      <c r="T345" s="6"/>
      <c r="U345" s="6"/>
      <c r="V345" s="6"/>
      <c r="W345" s="6"/>
      <c r="X345" s="6"/>
      <c r="Y345" s="6"/>
      <c r="Z345" s="6"/>
    </row>
    <row r="346" ht="22.5" customHeight="1">
      <c r="A346" s="84">
        <v>277.0</v>
      </c>
      <c r="B346" s="90">
        <v>53874.0</v>
      </c>
      <c r="C346" s="80">
        <f t="shared" si="17"/>
        <v>98009.08508</v>
      </c>
      <c r="D346" s="80">
        <f t="shared" si="18"/>
        <v>4310.336825</v>
      </c>
      <c r="E346" s="80">
        <f t="shared" si="14"/>
        <v>427.9730049</v>
      </c>
      <c r="F346" s="80">
        <f t="shared" si="15"/>
        <v>3882.36382</v>
      </c>
      <c r="G346" s="81">
        <f t="shared" si="16"/>
        <v>94126.72126</v>
      </c>
      <c r="H346" s="6"/>
      <c r="I346" s="6"/>
      <c r="J346" s="6"/>
      <c r="K346" s="6"/>
      <c r="L346" s="6"/>
      <c r="M346" s="6"/>
      <c r="N346" s="6"/>
      <c r="O346" s="6"/>
      <c r="P346" s="6"/>
      <c r="Q346" s="6"/>
      <c r="R346" s="6"/>
      <c r="S346" s="6"/>
      <c r="T346" s="6"/>
      <c r="U346" s="6"/>
      <c r="V346" s="6"/>
      <c r="W346" s="6"/>
      <c r="X346" s="6"/>
      <c r="Y346" s="6"/>
      <c r="Z346" s="6"/>
    </row>
    <row r="347" ht="22.5" customHeight="1">
      <c r="A347" s="84">
        <v>278.0</v>
      </c>
      <c r="B347" s="90">
        <v>53905.0</v>
      </c>
      <c r="C347" s="80">
        <f t="shared" si="17"/>
        <v>94126.72126</v>
      </c>
      <c r="D347" s="80">
        <f t="shared" si="18"/>
        <v>4310.336825</v>
      </c>
      <c r="E347" s="80">
        <f t="shared" si="14"/>
        <v>411.0200162</v>
      </c>
      <c r="F347" s="80">
        <f t="shared" si="15"/>
        <v>3899.316809</v>
      </c>
      <c r="G347" s="81">
        <f t="shared" si="16"/>
        <v>90227.40445</v>
      </c>
      <c r="H347" s="6"/>
      <c r="I347" s="6"/>
      <c r="J347" s="6"/>
      <c r="K347" s="6"/>
      <c r="L347" s="6"/>
      <c r="M347" s="6"/>
      <c r="N347" s="6"/>
      <c r="O347" s="6"/>
      <c r="P347" s="6"/>
      <c r="Q347" s="6"/>
      <c r="R347" s="6"/>
      <c r="S347" s="6"/>
      <c r="T347" s="6"/>
      <c r="U347" s="6"/>
      <c r="V347" s="6"/>
      <c r="W347" s="6"/>
      <c r="X347" s="6"/>
      <c r="Y347" s="6"/>
      <c r="Z347" s="6"/>
    </row>
    <row r="348" ht="22.5" customHeight="1">
      <c r="A348" s="84">
        <v>279.0</v>
      </c>
      <c r="B348" s="90">
        <v>53936.0</v>
      </c>
      <c r="C348" s="80">
        <f t="shared" si="17"/>
        <v>90227.40445</v>
      </c>
      <c r="D348" s="80">
        <f t="shared" si="18"/>
        <v>4310.336825</v>
      </c>
      <c r="E348" s="80">
        <f t="shared" si="14"/>
        <v>393.9929994</v>
      </c>
      <c r="F348" s="80">
        <f t="shared" si="15"/>
        <v>3916.343825</v>
      </c>
      <c r="G348" s="81">
        <f t="shared" si="16"/>
        <v>86311.06063</v>
      </c>
      <c r="H348" s="6"/>
      <c r="I348" s="6"/>
      <c r="J348" s="6"/>
      <c r="K348" s="6"/>
      <c r="L348" s="6"/>
      <c r="M348" s="6"/>
      <c r="N348" s="6"/>
      <c r="O348" s="6"/>
      <c r="P348" s="6"/>
      <c r="Q348" s="6"/>
      <c r="R348" s="6"/>
      <c r="S348" s="6"/>
      <c r="T348" s="6"/>
      <c r="U348" s="6"/>
      <c r="V348" s="6"/>
      <c r="W348" s="6"/>
      <c r="X348" s="6"/>
      <c r="Y348" s="6"/>
      <c r="Z348" s="6"/>
    </row>
    <row r="349" ht="22.5" customHeight="1">
      <c r="A349" s="84">
        <v>280.0</v>
      </c>
      <c r="B349" s="90">
        <v>53966.0</v>
      </c>
      <c r="C349" s="80">
        <f t="shared" si="17"/>
        <v>86311.06063</v>
      </c>
      <c r="D349" s="80">
        <f t="shared" si="18"/>
        <v>4310.336825</v>
      </c>
      <c r="E349" s="80">
        <f t="shared" si="14"/>
        <v>376.8916314</v>
      </c>
      <c r="F349" s="80">
        <f t="shared" si="15"/>
        <v>3933.445193</v>
      </c>
      <c r="G349" s="81">
        <f t="shared" si="16"/>
        <v>82377.61543</v>
      </c>
      <c r="H349" s="6"/>
      <c r="I349" s="6"/>
      <c r="J349" s="6"/>
      <c r="K349" s="6"/>
      <c r="L349" s="6"/>
      <c r="M349" s="6"/>
      <c r="N349" s="6"/>
      <c r="O349" s="6"/>
      <c r="P349" s="6"/>
      <c r="Q349" s="6"/>
      <c r="R349" s="6"/>
      <c r="S349" s="6"/>
      <c r="T349" s="6"/>
      <c r="U349" s="6"/>
      <c r="V349" s="6"/>
      <c r="W349" s="6"/>
      <c r="X349" s="6"/>
      <c r="Y349" s="6"/>
      <c r="Z349" s="6"/>
    </row>
    <row r="350" ht="22.5" customHeight="1">
      <c r="A350" s="84">
        <v>281.0</v>
      </c>
      <c r="B350" s="90">
        <v>53997.0</v>
      </c>
      <c r="C350" s="80">
        <f t="shared" si="17"/>
        <v>82377.61543</v>
      </c>
      <c r="D350" s="80">
        <f t="shared" si="18"/>
        <v>4310.336825</v>
      </c>
      <c r="E350" s="80">
        <f t="shared" si="14"/>
        <v>359.7155874</v>
      </c>
      <c r="F350" s="80">
        <f t="shared" si="15"/>
        <v>3950.621237</v>
      </c>
      <c r="G350" s="81">
        <f t="shared" si="16"/>
        <v>78426.9942</v>
      </c>
      <c r="H350" s="6"/>
      <c r="I350" s="6"/>
      <c r="J350" s="6"/>
      <c r="K350" s="6"/>
      <c r="L350" s="6"/>
      <c r="M350" s="6"/>
      <c r="N350" s="6"/>
      <c r="O350" s="6"/>
      <c r="P350" s="6"/>
      <c r="Q350" s="6"/>
      <c r="R350" s="6"/>
      <c r="S350" s="6"/>
      <c r="T350" s="6"/>
      <c r="U350" s="6"/>
      <c r="V350" s="6"/>
      <c r="W350" s="6"/>
      <c r="X350" s="6"/>
      <c r="Y350" s="6"/>
      <c r="Z350" s="6"/>
    </row>
    <row r="351" ht="22.5" customHeight="1">
      <c r="A351" s="84">
        <v>282.0</v>
      </c>
      <c r="B351" s="90">
        <v>54027.0</v>
      </c>
      <c r="C351" s="80">
        <f t="shared" si="17"/>
        <v>78426.9942</v>
      </c>
      <c r="D351" s="80">
        <f t="shared" si="18"/>
        <v>4310.336825</v>
      </c>
      <c r="E351" s="80">
        <f t="shared" si="14"/>
        <v>342.4645413</v>
      </c>
      <c r="F351" s="80">
        <f t="shared" si="15"/>
        <v>3967.872283</v>
      </c>
      <c r="G351" s="81">
        <f t="shared" si="16"/>
        <v>74459.12191</v>
      </c>
      <c r="H351" s="6"/>
      <c r="I351" s="6"/>
      <c r="J351" s="6"/>
      <c r="K351" s="6"/>
      <c r="L351" s="6"/>
      <c r="M351" s="6"/>
      <c r="N351" s="6"/>
      <c r="O351" s="6"/>
      <c r="P351" s="6"/>
      <c r="Q351" s="6"/>
      <c r="R351" s="6"/>
      <c r="S351" s="6"/>
      <c r="T351" s="6"/>
      <c r="U351" s="6"/>
      <c r="V351" s="6"/>
      <c r="W351" s="6"/>
      <c r="X351" s="6"/>
      <c r="Y351" s="6"/>
      <c r="Z351" s="6"/>
    </row>
    <row r="352" ht="22.5" customHeight="1">
      <c r="A352" s="84">
        <v>283.0</v>
      </c>
      <c r="B352" s="90">
        <v>54058.0</v>
      </c>
      <c r="C352" s="80">
        <f t="shared" si="17"/>
        <v>74459.12191</v>
      </c>
      <c r="D352" s="80">
        <f t="shared" si="18"/>
        <v>4310.336825</v>
      </c>
      <c r="E352" s="80">
        <f t="shared" si="14"/>
        <v>325.1381657</v>
      </c>
      <c r="F352" s="80">
        <f t="shared" si="15"/>
        <v>3985.198659</v>
      </c>
      <c r="G352" s="81">
        <f t="shared" si="16"/>
        <v>70473.92325</v>
      </c>
      <c r="H352" s="6"/>
      <c r="I352" s="6"/>
      <c r="J352" s="6"/>
      <c r="K352" s="6"/>
      <c r="L352" s="6"/>
      <c r="M352" s="6"/>
      <c r="N352" s="6"/>
      <c r="O352" s="6"/>
      <c r="P352" s="6"/>
      <c r="Q352" s="6"/>
      <c r="R352" s="6"/>
      <c r="S352" s="6"/>
      <c r="T352" s="6"/>
      <c r="U352" s="6"/>
      <c r="V352" s="6"/>
      <c r="W352" s="6"/>
      <c r="X352" s="6"/>
      <c r="Y352" s="6"/>
      <c r="Z352" s="6"/>
    </row>
    <row r="353" ht="22.5" customHeight="1">
      <c r="A353" s="84">
        <v>284.0</v>
      </c>
      <c r="B353" s="90">
        <v>54089.0</v>
      </c>
      <c r="C353" s="80">
        <f t="shared" si="17"/>
        <v>70473.92325</v>
      </c>
      <c r="D353" s="80">
        <f t="shared" si="18"/>
        <v>4310.336825</v>
      </c>
      <c r="E353" s="80">
        <f t="shared" si="14"/>
        <v>307.7361315</v>
      </c>
      <c r="F353" s="80">
        <f t="shared" si="15"/>
        <v>4002.600693</v>
      </c>
      <c r="G353" s="81">
        <f t="shared" si="16"/>
        <v>66471.32256</v>
      </c>
      <c r="H353" s="6"/>
      <c r="I353" s="6"/>
      <c r="J353" s="6"/>
      <c r="K353" s="6"/>
      <c r="L353" s="6"/>
      <c r="M353" s="6"/>
      <c r="N353" s="6"/>
      <c r="O353" s="6"/>
      <c r="P353" s="6"/>
      <c r="Q353" s="6"/>
      <c r="R353" s="6"/>
      <c r="S353" s="6"/>
      <c r="T353" s="6"/>
      <c r="U353" s="6"/>
      <c r="V353" s="6"/>
      <c r="W353" s="6"/>
      <c r="X353" s="6"/>
      <c r="Y353" s="6"/>
      <c r="Z353" s="6"/>
    </row>
    <row r="354" ht="22.5" customHeight="1">
      <c r="A354" s="84">
        <v>285.0</v>
      </c>
      <c r="B354" s="90">
        <v>54118.0</v>
      </c>
      <c r="C354" s="80">
        <f t="shared" si="17"/>
        <v>66471.32256</v>
      </c>
      <c r="D354" s="80">
        <f t="shared" si="18"/>
        <v>4310.336825</v>
      </c>
      <c r="E354" s="80">
        <f t="shared" si="14"/>
        <v>290.2581085</v>
      </c>
      <c r="F354" s="80">
        <f t="shared" si="15"/>
        <v>4020.078716</v>
      </c>
      <c r="G354" s="81">
        <f t="shared" si="16"/>
        <v>62451.24384</v>
      </c>
      <c r="H354" s="6"/>
      <c r="I354" s="6"/>
      <c r="J354" s="6"/>
      <c r="K354" s="6"/>
      <c r="L354" s="6"/>
      <c r="M354" s="6"/>
      <c r="N354" s="6"/>
      <c r="O354" s="6"/>
      <c r="P354" s="6"/>
      <c r="Q354" s="6"/>
      <c r="R354" s="6"/>
      <c r="S354" s="6"/>
      <c r="T354" s="6"/>
      <c r="U354" s="6"/>
      <c r="V354" s="6"/>
      <c r="W354" s="6"/>
      <c r="X354" s="6"/>
      <c r="Y354" s="6"/>
      <c r="Z354" s="6"/>
    </row>
    <row r="355" ht="22.5" customHeight="1">
      <c r="A355" s="84">
        <v>286.0</v>
      </c>
      <c r="B355" s="90">
        <v>54149.0</v>
      </c>
      <c r="C355" s="80">
        <f t="shared" si="17"/>
        <v>62451.24384</v>
      </c>
      <c r="D355" s="80">
        <f t="shared" si="18"/>
        <v>4310.336825</v>
      </c>
      <c r="E355" s="80">
        <f t="shared" si="14"/>
        <v>272.7037648</v>
      </c>
      <c r="F355" s="80">
        <f t="shared" si="15"/>
        <v>4037.63306</v>
      </c>
      <c r="G355" s="81">
        <f t="shared" si="16"/>
        <v>58413.61078</v>
      </c>
      <c r="H355" s="6"/>
      <c r="I355" s="6"/>
      <c r="J355" s="6"/>
      <c r="K355" s="6"/>
      <c r="L355" s="6"/>
      <c r="M355" s="6"/>
      <c r="N355" s="6"/>
      <c r="O355" s="6"/>
      <c r="P355" s="6"/>
      <c r="Q355" s="6"/>
      <c r="R355" s="6"/>
      <c r="S355" s="6"/>
      <c r="T355" s="6"/>
      <c r="U355" s="6"/>
      <c r="V355" s="6"/>
      <c r="W355" s="6"/>
      <c r="X355" s="6"/>
      <c r="Y355" s="6"/>
      <c r="Z355" s="6"/>
    </row>
    <row r="356" ht="22.5" customHeight="1">
      <c r="A356" s="84">
        <v>287.0</v>
      </c>
      <c r="B356" s="90">
        <v>54179.0</v>
      </c>
      <c r="C356" s="80">
        <f t="shared" si="17"/>
        <v>58413.61078</v>
      </c>
      <c r="D356" s="80">
        <f t="shared" si="18"/>
        <v>4310.336825</v>
      </c>
      <c r="E356" s="80">
        <f t="shared" si="14"/>
        <v>255.0727671</v>
      </c>
      <c r="F356" s="80">
        <f t="shared" si="15"/>
        <v>4055.264058</v>
      </c>
      <c r="G356" s="81">
        <f t="shared" si="16"/>
        <v>54358.34673</v>
      </c>
      <c r="H356" s="6"/>
      <c r="I356" s="6"/>
      <c r="J356" s="6"/>
      <c r="K356" s="6"/>
      <c r="L356" s="6"/>
      <c r="M356" s="6"/>
      <c r="N356" s="6"/>
      <c r="O356" s="6"/>
      <c r="P356" s="6"/>
      <c r="Q356" s="6"/>
      <c r="R356" s="6"/>
      <c r="S356" s="6"/>
      <c r="T356" s="6"/>
      <c r="U356" s="6"/>
      <c r="V356" s="6"/>
      <c r="W356" s="6"/>
      <c r="X356" s="6"/>
      <c r="Y356" s="6"/>
      <c r="Z356" s="6"/>
    </row>
    <row r="357" ht="22.5" customHeight="1">
      <c r="A357" s="84">
        <v>288.0</v>
      </c>
      <c r="B357" s="90">
        <v>54210.0</v>
      </c>
      <c r="C357" s="80">
        <f t="shared" si="17"/>
        <v>54358.34673</v>
      </c>
      <c r="D357" s="80">
        <f t="shared" si="18"/>
        <v>4310.336825</v>
      </c>
      <c r="E357" s="80">
        <f t="shared" si="14"/>
        <v>237.3647807</v>
      </c>
      <c r="F357" s="80">
        <f t="shared" si="15"/>
        <v>4072.972044</v>
      </c>
      <c r="G357" s="81">
        <f t="shared" si="16"/>
        <v>50285.37468</v>
      </c>
      <c r="H357" s="6"/>
      <c r="I357" s="6"/>
      <c r="J357" s="6"/>
      <c r="K357" s="6"/>
      <c r="L357" s="6"/>
      <c r="M357" s="6"/>
      <c r="N357" s="6"/>
      <c r="O357" s="6"/>
      <c r="P357" s="6"/>
      <c r="Q357" s="6"/>
      <c r="R357" s="6"/>
      <c r="S357" s="6"/>
      <c r="T357" s="6"/>
      <c r="U357" s="6"/>
      <c r="V357" s="6"/>
      <c r="W357" s="6"/>
      <c r="X357" s="6"/>
      <c r="Y357" s="6"/>
      <c r="Z357" s="6"/>
    </row>
    <row r="358" ht="22.5" customHeight="1">
      <c r="A358" s="84">
        <v>289.0</v>
      </c>
      <c r="B358" s="90">
        <v>54240.0</v>
      </c>
      <c r="C358" s="80">
        <f t="shared" si="17"/>
        <v>50285.37468</v>
      </c>
      <c r="D358" s="80">
        <f t="shared" si="18"/>
        <v>4310.336825</v>
      </c>
      <c r="E358" s="80">
        <f t="shared" si="14"/>
        <v>219.5794694</v>
      </c>
      <c r="F358" s="80">
        <f t="shared" si="15"/>
        <v>4090.757355</v>
      </c>
      <c r="G358" s="81">
        <f t="shared" si="16"/>
        <v>46194.61733</v>
      </c>
      <c r="H358" s="6"/>
      <c r="I358" s="6"/>
      <c r="J358" s="6"/>
      <c r="K358" s="6"/>
      <c r="L358" s="6"/>
      <c r="M358" s="6"/>
      <c r="N358" s="6"/>
      <c r="O358" s="6"/>
      <c r="P358" s="6"/>
      <c r="Q358" s="6"/>
      <c r="R358" s="6"/>
      <c r="S358" s="6"/>
      <c r="T358" s="6"/>
      <c r="U358" s="6"/>
      <c r="V358" s="6"/>
      <c r="W358" s="6"/>
      <c r="X358" s="6"/>
      <c r="Y358" s="6"/>
      <c r="Z358" s="6"/>
    </row>
    <row r="359" ht="22.5" customHeight="1">
      <c r="A359" s="84">
        <v>290.0</v>
      </c>
      <c r="B359" s="90">
        <v>54271.0</v>
      </c>
      <c r="C359" s="80">
        <f t="shared" si="17"/>
        <v>46194.61733</v>
      </c>
      <c r="D359" s="80">
        <f t="shared" si="18"/>
        <v>4310.336825</v>
      </c>
      <c r="E359" s="80">
        <f t="shared" si="14"/>
        <v>201.7164957</v>
      </c>
      <c r="F359" s="80">
        <f t="shared" si="15"/>
        <v>4108.620329</v>
      </c>
      <c r="G359" s="81">
        <f t="shared" si="16"/>
        <v>42085.997</v>
      </c>
      <c r="H359" s="6"/>
      <c r="I359" s="6"/>
      <c r="J359" s="6"/>
      <c r="K359" s="6"/>
      <c r="L359" s="6"/>
      <c r="M359" s="6"/>
      <c r="N359" s="6"/>
      <c r="O359" s="6"/>
      <c r="P359" s="6"/>
      <c r="Q359" s="6"/>
      <c r="R359" s="6"/>
      <c r="S359" s="6"/>
      <c r="T359" s="6"/>
      <c r="U359" s="6"/>
      <c r="V359" s="6"/>
      <c r="W359" s="6"/>
      <c r="X359" s="6"/>
      <c r="Y359" s="6"/>
      <c r="Z359" s="6"/>
    </row>
    <row r="360" ht="22.5" customHeight="1">
      <c r="A360" s="84">
        <v>291.0</v>
      </c>
      <c r="B360" s="90">
        <v>54302.0</v>
      </c>
      <c r="C360" s="80">
        <f t="shared" si="17"/>
        <v>42085.997</v>
      </c>
      <c r="D360" s="80">
        <f t="shared" si="18"/>
        <v>4310.336825</v>
      </c>
      <c r="E360" s="80">
        <f t="shared" si="14"/>
        <v>183.7755202</v>
      </c>
      <c r="F360" s="80">
        <f t="shared" si="15"/>
        <v>4126.561305</v>
      </c>
      <c r="G360" s="81">
        <f t="shared" si="16"/>
        <v>37959.43569</v>
      </c>
      <c r="H360" s="6"/>
      <c r="I360" s="6"/>
      <c r="J360" s="6"/>
      <c r="K360" s="6"/>
      <c r="L360" s="6"/>
      <c r="M360" s="6"/>
      <c r="N360" s="6"/>
      <c r="O360" s="6"/>
      <c r="P360" s="6"/>
      <c r="Q360" s="6"/>
      <c r="R360" s="6"/>
      <c r="S360" s="6"/>
      <c r="T360" s="6"/>
      <c r="U360" s="6"/>
      <c r="V360" s="6"/>
      <c r="W360" s="6"/>
      <c r="X360" s="6"/>
      <c r="Y360" s="6"/>
      <c r="Z360" s="6"/>
    </row>
    <row r="361" ht="22.5" customHeight="1">
      <c r="A361" s="84">
        <v>292.0</v>
      </c>
      <c r="B361" s="90">
        <v>54332.0</v>
      </c>
      <c r="C361" s="80">
        <f t="shared" si="17"/>
        <v>37959.43569</v>
      </c>
      <c r="D361" s="80">
        <f t="shared" si="18"/>
        <v>4310.336825</v>
      </c>
      <c r="E361" s="80">
        <f t="shared" si="14"/>
        <v>165.7562025</v>
      </c>
      <c r="F361" s="80">
        <f t="shared" si="15"/>
        <v>4144.580622</v>
      </c>
      <c r="G361" s="81">
        <f t="shared" si="16"/>
        <v>33814.85507</v>
      </c>
      <c r="H361" s="6"/>
      <c r="I361" s="6"/>
      <c r="J361" s="6"/>
      <c r="K361" s="6"/>
      <c r="L361" s="6"/>
      <c r="M361" s="6"/>
      <c r="N361" s="6"/>
      <c r="O361" s="6"/>
      <c r="P361" s="6"/>
      <c r="Q361" s="6"/>
      <c r="R361" s="6"/>
      <c r="S361" s="6"/>
      <c r="T361" s="6"/>
      <c r="U361" s="6"/>
      <c r="V361" s="6"/>
      <c r="W361" s="6"/>
      <c r="X361" s="6"/>
      <c r="Y361" s="6"/>
      <c r="Z361" s="6"/>
    </row>
    <row r="362" ht="22.5" customHeight="1">
      <c r="A362" s="84">
        <v>293.0</v>
      </c>
      <c r="B362" s="90">
        <v>54363.0</v>
      </c>
      <c r="C362" s="80">
        <f t="shared" si="17"/>
        <v>33814.85507</v>
      </c>
      <c r="D362" s="80">
        <f t="shared" si="18"/>
        <v>4310.336825</v>
      </c>
      <c r="E362" s="80">
        <f t="shared" si="14"/>
        <v>147.6582005</v>
      </c>
      <c r="F362" s="80">
        <f t="shared" si="15"/>
        <v>4162.678624</v>
      </c>
      <c r="G362" s="81">
        <f t="shared" si="16"/>
        <v>29652.17645</v>
      </c>
      <c r="H362" s="6"/>
      <c r="I362" s="6"/>
      <c r="J362" s="6"/>
      <c r="K362" s="6"/>
      <c r="L362" s="6"/>
      <c r="M362" s="6"/>
      <c r="N362" s="6"/>
      <c r="O362" s="6"/>
      <c r="P362" s="6"/>
      <c r="Q362" s="6"/>
      <c r="R362" s="6"/>
      <c r="S362" s="6"/>
      <c r="T362" s="6"/>
      <c r="U362" s="6"/>
      <c r="V362" s="6"/>
      <c r="W362" s="6"/>
      <c r="X362" s="6"/>
      <c r="Y362" s="6"/>
      <c r="Z362" s="6"/>
    </row>
    <row r="363" ht="22.5" customHeight="1">
      <c r="A363" s="84">
        <v>294.0</v>
      </c>
      <c r="B363" s="90">
        <v>54393.0</v>
      </c>
      <c r="C363" s="80">
        <f t="shared" si="17"/>
        <v>29652.17645</v>
      </c>
      <c r="D363" s="80">
        <f t="shared" si="18"/>
        <v>4310.336825</v>
      </c>
      <c r="E363" s="80">
        <f t="shared" si="14"/>
        <v>129.4811705</v>
      </c>
      <c r="F363" s="80">
        <f t="shared" si="15"/>
        <v>4180.855654</v>
      </c>
      <c r="G363" s="81">
        <f t="shared" si="16"/>
        <v>25471.32079</v>
      </c>
      <c r="H363" s="6"/>
      <c r="I363" s="6"/>
      <c r="J363" s="6"/>
      <c r="K363" s="6"/>
      <c r="L363" s="6"/>
      <c r="M363" s="6"/>
      <c r="N363" s="6"/>
      <c r="O363" s="6"/>
      <c r="P363" s="6"/>
      <c r="Q363" s="6"/>
      <c r="R363" s="6"/>
      <c r="S363" s="6"/>
      <c r="T363" s="6"/>
      <c r="U363" s="6"/>
      <c r="V363" s="6"/>
      <c r="W363" s="6"/>
      <c r="X363" s="6"/>
      <c r="Y363" s="6"/>
      <c r="Z363" s="6"/>
    </row>
    <row r="364" ht="22.5" customHeight="1">
      <c r="A364" s="84">
        <v>295.0</v>
      </c>
      <c r="B364" s="90">
        <v>54424.0</v>
      </c>
      <c r="C364" s="80">
        <f t="shared" si="17"/>
        <v>25471.32079</v>
      </c>
      <c r="D364" s="80">
        <f t="shared" si="18"/>
        <v>4310.336825</v>
      </c>
      <c r="E364" s="80">
        <f t="shared" si="14"/>
        <v>111.2247675</v>
      </c>
      <c r="F364" s="80">
        <f t="shared" si="15"/>
        <v>4199.112057</v>
      </c>
      <c r="G364" s="81">
        <f t="shared" si="16"/>
        <v>21272.20873</v>
      </c>
      <c r="H364" s="6"/>
      <c r="I364" s="6"/>
      <c r="J364" s="6"/>
      <c r="K364" s="6"/>
      <c r="L364" s="6"/>
      <c r="M364" s="6"/>
      <c r="N364" s="6"/>
      <c r="O364" s="6"/>
      <c r="P364" s="6"/>
      <c r="Q364" s="6"/>
      <c r="R364" s="6"/>
      <c r="S364" s="6"/>
      <c r="T364" s="6"/>
      <c r="U364" s="6"/>
      <c r="V364" s="6"/>
      <c r="W364" s="6"/>
      <c r="X364" s="6"/>
      <c r="Y364" s="6"/>
      <c r="Z364" s="6"/>
    </row>
    <row r="365" ht="22.5" customHeight="1">
      <c r="A365" s="84">
        <v>296.0</v>
      </c>
      <c r="B365" s="90">
        <v>54455.0</v>
      </c>
      <c r="C365" s="80">
        <f t="shared" si="17"/>
        <v>21272.20873</v>
      </c>
      <c r="D365" s="80">
        <f t="shared" si="18"/>
        <v>4310.336825</v>
      </c>
      <c r="E365" s="80">
        <f t="shared" si="14"/>
        <v>92.88864481</v>
      </c>
      <c r="F365" s="80">
        <f t="shared" si="15"/>
        <v>4217.44818</v>
      </c>
      <c r="G365" s="81">
        <f t="shared" si="16"/>
        <v>17054.76055</v>
      </c>
      <c r="H365" s="6"/>
      <c r="I365" s="6"/>
      <c r="J365" s="6"/>
      <c r="K365" s="6"/>
      <c r="L365" s="6"/>
      <c r="M365" s="6"/>
      <c r="N365" s="6"/>
      <c r="O365" s="6"/>
      <c r="P365" s="6"/>
      <c r="Q365" s="6"/>
      <c r="R365" s="6"/>
      <c r="S365" s="6"/>
      <c r="T365" s="6"/>
      <c r="U365" s="6"/>
      <c r="V365" s="6"/>
      <c r="W365" s="6"/>
      <c r="X365" s="6"/>
      <c r="Y365" s="6"/>
      <c r="Z365" s="6"/>
    </row>
    <row r="366" ht="22.5" customHeight="1">
      <c r="A366" s="84">
        <v>297.0</v>
      </c>
      <c r="B366" s="90">
        <v>54483.0</v>
      </c>
      <c r="C366" s="80">
        <f t="shared" si="17"/>
        <v>17054.76055</v>
      </c>
      <c r="D366" s="80">
        <f t="shared" si="18"/>
        <v>4310.336825</v>
      </c>
      <c r="E366" s="80">
        <f t="shared" si="14"/>
        <v>74.47245442</v>
      </c>
      <c r="F366" s="80">
        <f t="shared" si="15"/>
        <v>4235.86437</v>
      </c>
      <c r="G366" s="81">
        <f t="shared" si="16"/>
        <v>12818.89618</v>
      </c>
      <c r="H366" s="6"/>
      <c r="I366" s="6"/>
      <c r="J366" s="6"/>
      <c r="K366" s="6"/>
      <c r="L366" s="6"/>
      <c r="M366" s="6"/>
      <c r="N366" s="6"/>
      <c r="O366" s="6"/>
      <c r="P366" s="6"/>
      <c r="Q366" s="6"/>
      <c r="R366" s="6"/>
      <c r="S366" s="6"/>
      <c r="T366" s="6"/>
      <c r="U366" s="6"/>
      <c r="V366" s="6"/>
      <c r="W366" s="6"/>
      <c r="X366" s="6"/>
      <c r="Y366" s="6"/>
      <c r="Z366" s="6"/>
    </row>
    <row r="367" ht="22.5" customHeight="1">
      <c r="A367" s="84">
        <v>298.0</v>
      </c>
      <c r="B367" s="90">
        <v>54514.0</v>
      </c>
      <c r="C367" s="80">
        <f t="shared" si="17"/>
        <v>12818.89618</v>
      </c>
      <c r="D367" s="80">
        <f t="shared" si="18"/>
        <v>4310.336825</v>
      </c>
      <c r="E367" s="80">
        <f t="shared" si="14"/>
        <v>55.97584667</v>
      </c>
      <c r="F367" s="80">
        <f t="shared" si="15"/>
        <v>4254.360978</v>
      </c>
      <c r="G367" s="81">
        <f t="shared" si="16"/>
        <v>8564.535206</v>
      </c>
      <c r="H367" s="6"/>
      <c r="I367" s="6"/>
      <c r="J367" s="6"/>
      <c r="K367" s="6"/>
      <c r="L367" s="6"/>
      <c r="M367" s="6"/>
      <c r="N367" s="6"/>
      <c r="O367" s="6"/>
      <c r="P367" s="6"/>
      <c r="Q367" s="6"/>
      <c r="R367" s="6"/>
      <c r="S367" s="6"/>
      <c r="T367" s="6"/>
      <c r="U367" s="6"/>
      <c r="V367" s="6"/>
      <c r="W367" s="6"/>
      <c r="X367" s="6"/>
      <c r="Y367" s="6"/>
      <c r="Z367" s="6"/>
    </row>
    <row r="368" ht="22.5" customHeight="1">
      <c r="A368" s="84">
        <v>299.0</v>
      </c>
      <c r="B368" s="90">
        <v>54544.0</v>
      </c>
      <c r="C368" s="80">
        <f t="shared" si="17"/>
        <v>8564.535206</v>
      </c>
      <c r="D368" s="80">
        <f t="shared" si="18"/>
        <v>4310.336825</v>
      </c>
      <c r="E368" s="80">
        <f t="shared" si="14"/>
        <v>37.3984704</v>
      </c>
      <c r="F368" s="80">
        <f t="shared" si="15"/>
        <v>4272.938354</v>
      </c>
      <c r="G368" s="81">
        <f t="shared" si="16"/>
        <v>4291.596852</v>
      </c>
      <c r="H368" s="6"/>
      <c r="I368" s="6"/>
      <c r="J368" s="6"/>
      <c r="K368" s="6"/>
      <c r="L368" s="6"/>
      <c r="M368" s="6"/>
      <c r="N368" s="6"/>
      <c r="O368" s="6"/>
      <c r="P368" s="6"/>
      <c r="Q368" s="6"/>
      <c r="R368" s="6"/>
      <c r="S368" s="6"/>
      <c r="T368" s="6"/>
      <c r="U368" s="6"/>
      <c r="V368" s="6"/>
      <c r="W368" s="6"/>
      <c r="X368" s="6"/>
      <c r="Y368" s="6"/>
      <c r="Z368" s="6"/>
    </row>
    <row r="369" ht="22.5" customHeight="1">
      <c r="A369" s="92">
        <v>300.0</v>
      </c>
      <c r="B369" s="93">
        <v>54575.0</v>
      </c>
      <c r="C369" s="94">
        <f t="shared" si="17"/>
        <v>4291.596852</v>
      </c>
      <c r="D369" s="94">
        <f t="shared" si="18"/>
        <v>4310.336825</v>
      </c>
      <c r="E369" s="94">
        <f t="shared" si="14"/>
        <v>18.73997292</v>
      </c>
      <c r="F369" s="94">
        <f t="shared" si="15"/>
        <v>4291.596852</v>
      </c>
      <c r="G369" s="95">
        <f t="shared" si="16"/>
        <v>-0.00000001051648724</v>
      </c>
      <c r="H369" s="6"/>
      <c r="I369" s="6"/>
      <c r="J369" s="6"/>
      <c r="K369" s="6"/>
      <c r="L369" s="6"/>
      <c r="M369" s="6"/>
      <c r="N369" s="6"/>
      <c r="O369" s="6"/>
      <c r="P369" s="6"/>
      <c r="Q369" s="6"/>
      <c r="R369" s="6"/>
      <c r="S369" s="6"/>
      <c r="T369" s="6"/>
      <c r="U369" s="6"/>
      <c r="V369" s="6"/>
      <c r="W369" s="6"/>
      <c r="X369" s="6"/>
      <c r="Y369" s="6"/>
      <c r="Z369" s="6"/>
    </row>
    <row r="370">
      <c r="A370" s="3"/>
      <c r="B370" s="89"/>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3"/>
      <c r="B371" s="89"/>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3"/>
      <c r="B372" s="89"/>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3"/>
      <c r="B988" s="3"/>
      <c r="C988" s="3"/>
      <c r="D988" s="6"/>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6"/>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mergeCells count="2">
    <mergeCell ref="A10:D10"/>
    <mergeCell ref="A26:C27"/>
  </mergeCells>
  <conditionalFormatting sqref="E25:E27">
    <cfRule type="cellIs" dxfId="5" priority="1" operator="greaterThanOrEqual">
      <formula>0</formula>
    </cfRule>
  </conditionalFormatting>
  <conditionalFormatting sqref="E25:E27">
    <cfRule type="cellIs" dxfId="6" priority="2" operator="lessThan">
      <formula>0</formula>
    </cfRule>
  </conditionalFormatting>
  <dataValidations>
    <dataValidation type="custom" allowBlank="1" showDropDown="1" sqref="B70:B369">
      <formula1>OR(NOT(ISERROR(DATEVALUE(B70))), AND(ISNUMBER(B70), LEFT(CELL("format", B70))="D"))</formula1>
    </dataValidation>
    <dataValidation type="custom" allowBlank="1" showDropDown="1" sqref="B40:E65 G40:M65 C70:G369">
      <formula1>AND(ISNUMBER(B40),(NOT(OR(NOT(ISERROR(DATEVALUE(B40))), AND(ISNUMBER(B40), LEFT(CELL("format", B40))="D")))))</formula1>
    </dataValidation>
  </dataValidations>
  <drawing r:id="rId1"/>
  <tableParts count="3">
    <tablePart r:id="rId5"/>
    <tablePart r:id="rId6"/>
    <tablePart r:id="rId7"/>
  </tableParts>
</worksheet>
</file>